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Vue d'ensemble" sheetId="1" state="visible" r:id="rId1"/>
    <sheet xmlns:r="http://schemas.openxmlformats.org/officeDocument/2006/relationships" name="Simulateur" sheetId="2" state="visible" r:id="rId2"/>
    <sheet xmlns:r="http://schemas.openxmlformats.org/officeDocument/2006/relationships" name="Fiche prospect" sheetId="3" state="visible" r:id="rId3"/>
    <sheet xmlns:r="http://schemas.openxmlformats.org/officeDocument/2006/relationships" name="Dirigeant - Matrice" sheetId="4" state="visible" r:id="rId4"/>
    <sheet xmlns:r="http://schemas.openxmlformats.org/officeDocument/2006/relationships" name="Rayonnement - Matrice" sheetId="5" state="visible" r:id="rId5"/>
    <sheet xmlns:r="http://schemas.openxmlformats.org/officeDocument/2006/relationships" name="Bibliothèque constats" sheetId="6" state="visible" r:id="rId6"/>
    <sheet xmlns:r="http://schemas.openxmlformats.org/officeDocument/2006/relationships" name="Règles combinées" sheetId="7" state="visible" r:id="rId7"/>
    <sheet xmlns:r="http://schemas.openxmlformats.org/officeDocument/2006/relationships" name="Archétypes &amp; règles" sheetId="8" state="visible" r:id="rId8"/>
    <sheet xmlns:r="http://schemas.openxmlformats.org/officeDocument/2006/relationships" name="Lecture croisée" sheetId="9" state="visible" r:id="rId9"/>
    <sheet xmlns:r="http://schemas.openxmlformats.org/officeDocument/2006/relationships" name="Contrôles" sheetId="10" state="visible" r:id="rId10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1">
    <font>
      <name val="Carlito"/>
      <sz val="11"/>
    </font>
    <font>
      <name val="Carlito"/>
      <b val="1"/>
      <color rgb="FFFFFFFF"/>
      <sz val="18"/>
    </font>
    <font>
      <name val="Carlito"/>
      <color rgb="FF086046"/>
      <sz val="11"/>
    </font>
    <font>
      <name val="Carlito"/>
      <b val="1"/>
      <color rgb="FF13231F"/>
      <sz val="12"/>
    </font>
    <font>
      <name val="Carlito"/>
      <b val="1"/>
      <color rgb="FFFFFFFF"/>
      <sz val="11"/>
    </font>
    <font>
      <name val="Carlito"/>
      <color rgb="FF13231F"/>
      <sz val="10"/>
    </font>
    <font>
      <name val="Carlito"/>
      <b val="1"/>
      <color rgb="FF086046"/>
      <sz val="11"/>
    </font>
    <font>
      <name val="Carlito"/>
      <b val="1"/>
      <color rgb="FF13231F"/>
      <sz val="10"/>
    </font>
    <font>
      <name val="Carlito"/>
      <b val="1"/>
      <color rgb="FFFFFFFF"/>
      <sz val="9"/>
    </font>
    <font>
      <name val="Carlito"/>
      <b val="1"/>
      <color rgb="FF13231F"/>
      <sz val="11"/>
    </font>
    <font>
      <name val="Carlito"/>
      <i val="1"/>
      <color rgb="FFD97706"/>
      <sz val="11"/>
    </font>
  </fonts>
  <fills count="9">
    <fill>
      <patternFill/>
    </fill>
    <fill>
      <patternFill patternType="gray125"/>
    </fill>
    <fill>
      <patternFill patternType="solid">
        <fgColor rgb="FF13231F"/>
      </patternFill>
    </fill>
    <fill>
      <patternFill patternType="solid">
        <fgColor rgb="FFE8F6F1"/>
      </patternFill>
    </fill>
    <fill>
      <patternFill patternType="solid">
        <fgColor rgb="FFCDEDE2"/>
      </patternFill>
    </fill>
    <fill>
      <patternFill patternType="solid">
        <fgColor rgb="FF086046"/>
      </patternFill>
    </fill>
    <fill>
      <patternFill patternType="solid">
        <fgColor rgb="FFEAF1FF"/>
      </patternFill>
    </fill>
    <fill>
      <patternFill patternType="solid">
        <fgColor rgb="FFFFF6DE"/>
      </patternFill>
    </fill>
    <fill>
      <patternFill patternType="solid">
        <fgColor rgb="FFFFF0DB"/>
      </patternFill>
    </fill>
  </fills>
  <borders count="13">
    <border/>
    <border>
      <left style="thin">
        <color rgb="FF086046"/>
      </left>
      <top style="thin">
        <color rgb="FF086046"/>
      </top>
      <bottom style="thin">
        <color rgb="FF086046"/>
      </bottom>
    </border>
    <border>
      <top style="thin">
        <color rgb="FF086046"/>
      </top>
      <bottom style="thin">
        <color rgb="FF086046"/>
      </bottom>
    </border>
    <border>
      <right style="thin">
        <color rgb="FF086046"/>
      </right>
      <top style="thin">
        <color rgb="FF086046"/>
      </top>
      <bottom style="thin">
        <color rgb="FF086046"/>
      </bottom>
    </border>
    <border>
      <bottom style="thin">
        <color rgb="FFE5E7EB"/>
      </bottom>
    </border>
    <border>
      <top style="thin">
        <color rgb="FFE5E7EB"/>
      </top>
      <bottom style="thin">
        <color rgb="FFE5E7EB"/>
      </bottom>
    </border>
    <border>
      <top style="thin">
        <color rgb="FFE5E7EB"/>
      </top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  <border>
      <left style="thin">
        <color rgb="FFE5E7EB"/>
      </left>
      <top style="thin">
        <color rgb="FFE5E7EB"/>
      </top>
      <bottom style="thin">
        <color rgb="FFE5E7EB"/>
      </bottom>
    </border>
    <border>
      <right style="thin">
        <color rgb="FFE5E7EB"/>
      </right>
      <top style="thin">
        <color rgb="FFE5E7EB"/>
      </top>
      <bottom style="thin">
        <color rgb="FFE5E7EB"/>
      </bottom>
    </border>
    <border>
      <right style="thin">
        <color rgb="FFE5E7EB"/>
      </right>
      <top style="thin">
        <color rgb="FFE5E7EB"/>
      </top>
    </border>
    <border>
      <top style="thin">
        <color rgb="FF086046"/>
      </top>
    </border>
    <border>
      <right style="thin">
        <color rgb="FF086046"/>
      </right>
      <top style="thin">
        <color rgb="FF086046"/>
      </top>
    </border>
  </borders>
  <cellStyleXfs count="1">
    <xf numFmtId="0" fontId="0" fillId="0" borderId="0"/>
  </cellStyleXfs>
  <cellXfs count="139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vertical="center"/>
    </xf>
    <xf numFmtId="0" fontId="0" fillId="5" borderId="0" pivotButton="0" quotePrefix="0" xfId="0"/>
    <xf numFmtId="0" fontId="4" fillId="5" borderId="0" pivotButton="0" quotePrefix="0" xfId="0"/>
    <xf numFmtId="0" fontId="4" fillId="5" borderId="1" pivotButton="0" quotePrefix="0" xfId="0"/>
    <xf numFmtId="0" fontId="4" fillId="5" borderId="2" pivotButton="0" quotePrefix="0" xfId="0"/>
    <xf numFmtId="0" fontId="4" fillId="5" borderId="3" pivotButton="0" quotePrefix="0" xfId="0"/>
    <xf numFmtId="0" fontId="4" fillId="5" borderId="1" applyAlignment="1" pivotButton="0" quotePrefix="0" xfId="0">
      <alignment wrapText="1"/>
    </xf>
    <xf numFmtId="0" fontId="4" fillId="5" borderId="2" applyAlignment="1" pivotButton="0" quotePrefix="0" xfId="0">
      <alignment wrapText="1"/>
    </xf>
    <xf numFmtId="0" fontId="4" fillId="5" borderId="3" applyAlignment="1" pivotButton="0" quotePrefix="0" xfId="0">
      <alignment wrapText="1"/>
    </xf>
    <xf numFmtId="0" fontId="4" fillId="5" borderId="1" applyAlignment="1" pivotButton="0" quotePrefix="0" xfId="0">
      <alignment vertical="center" wrapText="1"/>
    </xf>
    <xf numFmtId="0" fontId="4" fillId="5" borderId="2" applyAlignment="1" pivotButton="0" quotePrefix="0" xfId="0">
      <alignment vertical="center" wrapText="1"/>
    </xf>
    <xf numFmtId="0" fontId="4" fillId="5" borderId="3" applyAlignment="1" pivotButton="0" quotePrefix="0" xfId="0">
      <alignment vertical="center" wrapText="1"/>
    </xf>
    <xf numFmtId="0" fontId="5" fillId="0" borderId="0" pivotButton="0" quotePrefix="0" xfId="0"/>
    <xf numFmtId="0" fontId="5" fillId="0" borderId="4" pivotButton="0" quotePrefix="0" xfId="0"/>
    <xf numFmtId="0" fontId="5" fillId="0" borderId="5" pivotButton="0" quotePrefix="0" xfId="0"/>
    <xf numFmtId="0" fontId="5" fillId="0" borderId="6" pivotButton="0" quotePrefix="0" xfId="0"/>
    <xf numFmtId="0" fontId="5" fillId="0" borderId="4" applyAlignment="1" pivotButton="0" quotePrefix="0" xfId="0">
      <alignment wrapText="1"/>
    </xf>
    <xf numFmtId="0" fontId="5" fillId="0" borderId="5" applyAlignment="1" pivotButton="0" quotePrefix="0" xfId="0">
      <alignment wrapText="1"/>
    </xf>
    <xf numFmtId="0" fontId="5" fillId="0" borderId="6" applyAlignment="1" pivotButton="0" quotePrefix="0" xfId="0">
      <alignment wrapText="1"/>
    </xf>
    <xf numFmtId="0" fontId="5" fillId="0" borderId="4" applyAlignment="1" pivotButton="0" quotePrefix="0" xfId="0">
      <alignment vertical="top" wrapText="1"/>
    </xf>
    <xf numFmtId="0" fontId="5" fillId="0" borderId="5" applyAlignment="1" pivotButton="0" quotePrefix="0" xfId="0">
      <alignment vertical="top" wrapText="1"/>
    </xf>
    <xf numFmtId="0" fontId="5" fillId="0" borderId="6" applyAlignment="1" pivotButton="0" quotePrefix="0" xfId="0">
      <alignment vertical="top" wrapText="1"/>
    </xf>
    <xf numFmtId="0" fontId="6" fillId="3" borderId="0" pivotButton="0" quotePrefix="0" xfId="0"/>
    <xf numFmtId="0" fontId="6" fillId="3" borderId="0" applyAlignment="1" pivotButton="0" quotePrefix="0" xfId="0">
      <alignment horizontal="center"/>
    </xf>
    <xf numFmtId="0" fontId="7" fillId="3" borderId="0" applyAlignment="1" pivotButton="0" quotePrefix="0" xfId="0">
      <alignment horizontal="center"/>
    </xf>
    <xf numFmtId="0" fontId="7" fillId="3" borderId="4" applyAlignment="1" pivotButton="0" quotePrefix="0" xfId="0">
      <alignment horizontal="center"/>
    </xf>
    <xf numFmtId="0" fontId="7" fillId="3" borderId="5" applyAlignment="1" pivotButton="0" quotePrefix="0" xfId="0">
      <alignment horizontal="center"/>
    </xf>
    <xf numFmtId="0" fontId="7" fillId="3" borderId="6" applyAlignment="1" pivotButton="0" quotePrefix="0" xfId="0">
      <alignment horizontal="center"/>
    </xf>
    <xf numFmtId="0" fontId="7" fillId="3" borderId="4" applyAlignment="1" pivotButton="0" quotePrefix="0" xfId="0">
      <alignment horizontal="center" wrapText="1"/>
    </xf>
    <xf numFmtId="0" fontId="7" fillId="3" borderId="5" applyAlignment="1" pivotButton="0" quotePrefix="0" xfId="0">
      <alignment horizontal="center" wrapText="1"/>
    </xf>
    <xf numFmtId="0" fontId="7" fillId="3" borderId="6" applyAlignment="1" pivotButton="0" quotePrefix="0" xfId="0">
      <alignment horizontal="center" wrapText="1"/>
    </xf>
    <xf numFmtId="0" fontId="7" fillId="3" borderId="4" applyAlignment="1" pivotButton="0" quotePrefix="0" xfId="0">
      <alignment horizontal="center" vertical="top" wrapText="1"/>
    </xf>
    <xf numFmtId="0" fontId="7" fillId="3" borderId="5" applyAlignment="1" pivotButton="0" quotePrefix="0" xfId="0">
      <alignment horizontal="center" vertical="top" wrapText="1"/>
    </xf>
    <xf numFmtId="0" fontId="7" fillId="3" borderId="6" applyAlignment="1" pivotButton="0" quotePrefix="0" xfId="0">
      <alignment horizontal="center" vertical="top" wrapText="1"/>
    </xf>
    <xf numFmtId="0" fontId="5" fillId="0" borderId="4" applyAlignment="1" pivotButton="0" quotePrefix="0" xfId="0">
      <alignment horizontal="center" vertical="top" wrapText="1"/>
    </xf>
    <xf numFmtId="0" fontId="5" fillId="0" borderId="5" applyAlignment="1" pivotButton="0" quotePrefix="0" xfId="0">
      <alignment horizontal="center" vertical="top" wrapText="1"/>
    </xf>
    <xf numFmtId="0" fontId="5" fillId="0" borderId="6" applyAlignment="1" pivotButton="0" quotePrefix="0" xfId="0">
      <alignment horizontal="center" vertical="top" wrapText="1"/>
    </xf>
    <xf numFmtId="1" fontId="5" fillId="0" borderId="4" applyAlignment="1" pivotButton="0" quotePrefix="0" xfId="0">
      <alignment horizontal="center" vertical="top" wrapText="1"/>
    </xf>
    <xf numFmtId="1" fontId="5" fillId="0" borderId="5" applyAlignment="1" pivotButton="0" quotePrefix="0" xfId="0">
      <alignment horizontal="center" vertical="top" wrapText="1"/>
    </xf>
    <xf numFmtId="1" fontId="5" fillId="0" borderId="6" applyAlignment="1" pivotButton="0" quotePrefix="0" xfId="0">
      <alignment horizontal="center" vertical="top" wrapText="1"/>
    </xf>
    <xf numFmtId="9" fontId="5" fillId="0" borderId="4" applyAlignment="1" pivotButton="0" quotePrefix="0" xfId="0">
      <alignment vertical="top" wrapText="1"/>
    </xf>
    <xf numFmtId="9" fontId="5" fillId="0" borderId="5" applyAlignment="1" pivotButton="0" quotePrefix="0" xfId="0">
      <alignment vertical="top" wrapText="1"/>
    </xf>
    <xf numFmtId="9" fontId="5" fillId="0" borderId="6" applyAlignment="1" pivotButton="0" quotePrefix="0" xfId="0">
      <alignment vertical="top" wrapText="1"/>
    </xf>
    <xf numFmtId="0" fontId="4" fillId="5" borderId="0" applyAlignment="1" pivotButton="0" quotePrefix="0" xfId="0">
      <alignment wrapText="1"/>
    </xf>
    <xf numFmtId="2" fontId="5" fillId="0" borderId="4" applyAlignment="1" pivotButton="0" quotePrefix="0" xfId="0">
      <alignment vertical="top" wrapText="1"/>
    </xf>
    <xf numFmtId="2" fontId="5" fillId="0" borderId="5" applyAlignment="1" pivotButton="0" quotePrefix="0" xfId="0">
      <alignment vertical="top" wrapText="1"/>
    </xf>
    <xf numFmtId="2" fontId="5" fillId="0" borderId="6" applyAlignment="1" pivotButton="0" quotePrefix="0" xfId="0">
      <alignment vertical="top" wrapText="1"/>
    </xf>
    <xf numFmtId="0" fontId="8" fillId="2" borderId="0" pivotButton="0" quotePrefix="0" xfId="0"/>
    <xf numFmtId="0" fontId="8" fillId="2" borderId="0" applyAlignment="1" pivotButton="0" quotePrefix="0" xfId="0">
      <alignment wrapText="1"/>
    </xf>
    <xf numFmtId="0" fontId="8" fillId="2" borderId="0" applyAlignment="1" pivotButton="0" quotePrefix="0" xfId="0">
      <alignment vertical="center" wrapText="1"/>
    </xf>
    <xf numFmtId="0" fontId="9" fillId="3" borderId="0" pivotButton="0" quotePrefix="0" xfId="0"/>
    <xf numFmtId="0" fontId="9" fillId="3" borderId="7" pivotButton="0" quotePrefix="0" xfId="0"/>
    <xf numFmtId="0" fontId="9" fillId="3" borderId="7" applyAlignment="1" pivotButton="0" quotePrefix="0" xfId="0">
      <alignment wrapText="1"/>
    </xf>
    <xf numFmtId="0" fontId="9" fillId="3" borderId="7" applyAlignment="1" pivotButton="0" quotePrefix="0" xfId="0">
      <alignment vertical="center" wrapText="1"/>
    </xf>
    <xf numFmtId="0" fontId="0" fillId="6" borderId="0" pivotButton="0" quotePrefix="0" xfId="0"/>
    <xf numFmtId="0" fontId="9" fillId="6" borderId="0" pivotButton="0" quotePrefix="0" xfId="0"/>
    <xf numFmtId="0" fontId="9" fillId="6" borderId="8" pivotButton="0" quotePrefix="0" xfId="0"/>
    <xf numFmtId="0" fontId="9" fillId="6" borderId="5" pivotButton="0" quotePrefix="0" xfId="0"/>
    <xf numFmtId="0" fontId="9" fillId="6" borderId="9" pivotButton="0" quotePrefix="0" xfId="0"/>
    <xf numFmtId="0" fontId="9" fillId="6" borderId="8" applyAlignment="1" pivotButton="0" quotePrefix="0" xfId="0">
      <alignment wrapText="1"/>
    </xf>
    <xf numFmtId="0" fontId="9" fillId="6" borderId="5" applyAlignment="1" pivotButton="0" quotePrefix="0" xfId="0">
      <alignment wrapText="1"/>
    </xf>
    <xf numFmtId="0" fontId="9" fillId="6" borderId="9" applyAlignment="1" pivotButton="0" quotePrefix="0" xfId="0">
      <alignment wrapText="1"/>
    </xf>
    <xf numFmtId="0" fontId="9" fillId="6" borderId="8" applyAlignment="1" pivotButton="0" quotePrefix="0" xfId="0">
      <alignment vertical="center" wrapText="1"/>
    </xf>
    <xf numFmtId="0" fontId="9" fillId="6" borderId="5" applyAlignment="1" pivotButton="0" quotePrefix="0" xfId="0">
      <alignment vertical="center" wrapText="1"/>
    </xf>
    <xf numFmtId="0" fontId="9" fillId="6" borderId="9" applyAlignment="1" pivotButton="0" quotePrefix="0" xfId="0">
      <alignment vertical="center" wrapText="1"/>
    </xf>
    <xf numFmtId="0" fontId="0" fillId="7" borderId="0" pivotButton="0" quotePrefix="0" xfId="0"/>
    <xf numFmtId="0" fontId="9" fillId="7" borderId="0" pivotButton="0" quotePrefix="0" xfId="0"/>
    <xf numFmtId="0" fontId="9" fillId="7" borderId="8" pivotButton="0" quotePrefix="0" xfId="0"/>
    <xf numFmtId="0" fontId="9" fillId="7" borderId="5" pivotButton="0" quotePrefix="0" xfId="0"/>
    <xf numFmtId="0" fontId="9" fillId="7" borderId="9" pivotButton="0" quotePrefix="0" xfId="0"/>
    <xf numFmtId="0" fontId="9" fillId="7" borderId="8" applyAlignment="1" pivotButton="0" quotePrefix="0" xfId="0">
      <alignment wrapText="1"/>
    </xf>
    <xf numFmtId="0" fontId="9" fillId="7" borderId="5" applyAlignment="1" pivotButton="0" quotePrefix="0" xfId="0">
      <alignment wrapText="1"/>
    </xf>
    <xf numFmtId="0" fontId="9" fillId="7" borderId="9" applyAlignment="1" pivotButton="0" quotePrefix="0" xfId="0">
      <alignment wrapText="1"/>
    </xf>
    <xf numFmtId="0" fontId="9" fillId="7" borderId="8" applyAlignment="1" pivotButton="0" quotePrefix="0" xfId="0">
      <alignment vertical="center" wrapText="1"/>
    </xf>
    <xf numFmtId="0" fontId="9" fillId="7" borderId="5" applyAlignment="1" pivotButton="0" quotePrefix="0" xfId="0">
      <alignment vertical="center" wrapText="1"/>
    </xf>
    <xf numFmtId="0" fontId="9" fillId="7" borderId="9" applyAlignment="1" pivotButton="0" quotePrefix="0" xfId="0">
      <alignment vertical="center" wrapText="1"/>
    </xf>
    <xf numFmtId="0" fontId="0" fillId="8" borderId="0" pivotButton="0" quotePrefix="0" xfId="0"/>
    <xf numFmtId="0" fontId="9" fillId="8" borderId="0" pivotButton="0" quotePrefix="0" xfId="0"/>
    <xf numFmtId="0" fontId="9" fillId="8" borderId="8" pivotButton="0" quotePrefix="0" xfId="0"/>
    <xf numFmtId="0" fontId="9" fillId="8" borderId="5" pivotButton="0" quotePrefix="0" xfId="0"/>
    <xf numFmtId="0" fontId="9" fillId="8" borderId="9" pivotButton="0" quotePrefix="0" xfId="0"/>
    <xf numFmtId="0" fontId="9" fillId="8" borderId="8" applyAlignment="1" pivotButton="0" quotePrefix="0" xfId="0">
      <alignment wrapText="1"/>
    </xf>
    <xf numFmtId="0" fontId="9" fillId="8" borderId="5" applyAlignment="1" pivotButton="0" quotePrefix="0" xfId="0">
      <alignment wrapText="1"/>
    </xf>
    <xf numFmtId="0" fontId="9" fillId="8" borderId="9" applyAlignment="1" pivotButton="0" quotePrefix="0" xfId="0">
      <alignment wrapText="1"/>
    </xf>
    <xf numFmtId="0" fontId="9" fillId="8" borderId="8" applyAlignment="1" pivotButton="0" quotePrefix="0" xfId="0">
      <alignment vertical="center" wrapText="1"/>
    </xf>
    <xf numFmtId="0" fontId="9" fillId="8" borderId="5" applyAlignment="1" pivotButton="0" quotePrefix="0" xfId="0">
      <alignment vertical="center" wrapText="1"/>
    </xf>
    <xf numFmtId="0" fontId="9" fillId="8" borderId="9" applyAlignment="1" pivotButton="0" quotePrefix="0" xfId="0">
      <alignment vertical="center" wrapText="1"/>
    </xf>
    <xf numFmtId="0" fontId="9" fillId="7" borderId="0" applyAlignment="1" pivotButton="0" quotePrefix="0" xfId="0">
      <alignment horizontal="center"/>
    </xf>
    <xf numFmtId="0" fontId="7" fillId="7" borderId="0" applyAlignment="1" pivotButton="0" quotePrefix="0" xfId="0">
      <alignment horizontal="center"/>
    </xf>
    <xf numFmtId="0" fontId="7" fillId="7" borderId="4" applyAlignment="1" pivotButton="0" quotePrefix="0" xfId="0">
      <alignment horizontal="center"/>
    </xf>
    <xf numFmtId="0" fontId="7" fillId="7" borderId="5" applyAlignment="1" pivotButton="0" quotePrefix="0" xfId="0">
      <alignment horizontal="center"/>
    </xf>
    <xf numFmtId="0" fontId="7" fillId="7" borderId="6" applyAlignment="1" pivotButton="0" quotePrefix="0" xfId="0">
      <alignment horizontal="center"/>
    </xf>
    <xf numFmtId="0" fontId="7" fillId="7" borderId="4" applyAlignment="1" pivotButton="0" quotePrefix="0" xfId="0">
      <alignment horizontal="center" wrapText="1"/>
    </xf>
    <xf numFmtId="0" fontId="7" fillId="7" borderId="5" applyAlignment="1" pivotButton="0" quotePrefix="0" xfId="0">
      <alignment horizontal="center" wrapText="1"/>
    </xf>
    <xf numFmtId="0" fontId="7" fillId="7" borderId="6" applyAlignment="1" pivotButton="0" quotePrefix="0" xfId="0">
      <alignment horizontal="center" wrapText="1"/>
    </xf>
    <xf numFmtId="0" fontId="7" fillId="7" borderId="4" applyAlignment="1" pivotButton="0" quotePrefix="0" xfId="0">
      <alignment horizontal="center" vertical="top" wrapText="1"/>
    </xf>
    <xf numFmtId="0" fontId="7" fillId="7" borderId="5" applyAlignment="1" pivotButton="0" quotePrefix="0" xfId="0">
      <alignment horizontal="center" vertical="top" wrapText="1"/>
    </xf>
    <xf numFmtId="0" fontId="7" fillId="7" borderId="6" applyAlignment="1" pivotButton="0" quotePrefix="0" xfId="0">
      <alignment horizontal="center" vertical="top" wrapText="1"/>
    </xf>
    <xf numFmtId="2" fontId="9" fillId="3" borderId="7" applyAlignment="1" pivotButton="0" quotePrefix="0" xfId="0">
      <alignment vertical="center" wrapText="1"/>
    </xf>
    <xf numFmtId="2" fontId="8" fillId="2" borderId="0" applyAlignment="1" pivotButton="0" quotePrefix="0" xfId="0">
      <alignment vertical="center" wrapText="1"/>
    </xf>
    <xf numFmtId="0" fontId="9" fillId="6" borderId="7" pivotButton="0" quotePrefix="0" xfId="0"/>
    <xf numFmtId="0" fontId="9" fillId="6" borderId="7" applyAlignment="1" pivotButton="0" quotePrefix="0" xfId="0">
      <alignment wrapText="1"/>
    </xf>
    <xf numFmtId="0" fontId="9" fillId="6" borderId="7" applyAlignment="1" pivotButton="0" quotePrefix="0" xfId="0">
      <alignment vertical="center" wrapText="1"/>
    </xf>
    <xf numFmtId="0" fontId="9" fillId="8" borderId="7" pivotButton="0" quotePrefix="0" xfId="0"/>
    <xf numFmtId="0" fontId="9" fillId="8" borderId="7" applyAlignment="1" pivotButton="0" quotePrefix="0" xfId="0">
      <alignment wrapText="1"/>
    </xf>
    <xf numFmtId="0" fontId="9" fillId="8" borderId="7" applyAlignment="1" pivotButton="0" quotePrefix="0" xfId="0">
      <alignment vertical="center" wrapText="1"/>
    </xf>
    <xf numFmtId="0" fontId="6" fillId="3" borderId="0" applyAlignment="1" pivotButton="0" quotePrefix="0" xfId="0">
      <alignment wrapText="1"/>
    </xf>
    <xf numFmtId="0" fontId="6" fillId="3" borderId="0" applyAlignment="1" pivotButton="0" quotePrefix="0" xfId="0">
      <alignment vertical="top" wrapText="1"/>
    </xf>
    <xf numFmtId="0" fontId="10" fillId="7" borderId="0" pivotButton="0" quotePrefix="0" xfId="0"/>
    <xf numFmtId="0" fontId="10" fillId="7" borderId="0" applyAlignment="1" pivotButton="0" quotePrefix="0" xfId="0">
      <alignment wrapText="1"/>
    </xf>
    <xf numFmtId="0" fontId="10" fillId="7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2" fontId="9" fillId="3" borderId="7" applyAlignment="1" pivotButton="0" quotePrefix="0" xfId="0">
      <alignment vertical="center" wrapText="1"/>
    </xf>
    <xf numFmtId="2" fontId="8" fillId="2" borderId="0" applyAlignment="1" pivotButton="0" quotePrefix="0" xfId="0">
      <alignment vertical="center" wrapText="1"/>
    </xf>
    <xf numFmtId="0" fontId="0" fillId="0" borderId="9" pivotButton="0" quotePrefix="0" xfId="0"/>
    <xf numFmtId="0" fontId="9" fillId="7" borderId="7" applyAlignment="1" pivotButton="0" quotePrefix="0" xfId="0">
      <alignment vertical="center" wrapText="1"/>
    </xf>
    <xf numFmtId="2" fontId="5" fillId="0" borderId="4" applyAlignment="1" pivotButton="0" quotePrefix="0" xfId="0">
      <alignment vertical="top" wrapText="1"/>
    </xf>
    <xf numFmtId="2" fontId="5" fillId="0" borderId="5" applyAlignment="1" pivotButton="0" quotePrefix="0" xfId="0">
      <alignment vertical="top" wrapText="1"/>
    </xf>
    <xf numFmtId="2" fontId="5" fillId="0" borderId="6" applyAlignment="1" pivotButton="0" quotePrefix="0" xfId="0">
      <alignment vertical="top" wrapText="1"/>
    </xf>
    <xf numFmtId="9" fontId="5" fillId="0" borderId="4" applyAlignment="1" pivotButton="0" quotePrefix="0" xfId="0">
      <alignment vertical="top" wrapText="1"/>
    </xf>
    <xf numFmtId="9" fontId="5" fillId="0" borderId="5" applyAlignment="1" pivotButton="0" quotePrefix="0" xfId="0">
      <alignment vertical="top" wrapText="1"/>
    </xf>
    <xf numFmtId="9" fontId="5" fillId="0" borderId="6" applyAlignment="1" pivotButton="0" quotePrefix="0" xfId="0">
      <alignment vertical="top" wrapText="1"/>
    </xf>
    <xf numFmtId="1" fontId="5" fillId="0" borderId="4" applyAlignment="1" pivotButton="0" quotePrefix="0" xfId="0">
      <alignment horizontal="center" vertical="top" wrapText="1"/>
    </xf>
    <xf numFmtId="1" fontId="5" fillId="0" borderId="5" applyAlignment="1" pivotButton="0" quotePrefix="0" xfId="0">
      <alignment horizontal="center" vertical="top" wrapText="1"/>
    </xf>
    <xf numFmtId="1" fontId="5" fillId="0" borderId="6" applyAlignment="1" pivotButton="0" quotePrefix="0" xfId="0">
      <alignment horizontal="center" vertical="top" wrapText="1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/>
  </cellStyles>
  <dxfs count="13">
    <dxf>
      <font>
        <b val="1"/>
        <color rgb="FFB42318"/>
      </font>
      <fill>
        <patternFill patternType="solid">
          <bgColor rgb="FFFEECEB"/>
        </patternFill>
      </fill>
    </dxf>
    <dxf>
      <font>
        <b val="1"/>
        <color rgb="FFD97706"/>
      </font>
      <fill>
        <patternFill patternType="solid">
          <bgColor rgb="FFFFF0DB"/>
        </patternFill>
      </fill>
    </dxf>
    <dxf>
      <font>
        <b val="1"/>
        <color rgb="FFD39A2C"/>
      </font>
      <fill>
        <patternFill patternType="solid">
          <bgColor rgb="FFFFF6DE"/>
        </patternFill>
      </fill>
    </dxf>
    <dxf>
      <font>
        <b val="1"/>
        <color rgb="FF086046"/>
      </font>
      <fill>
        <patternFill patternType="solid">
          <bgColor rgb="FFE8F6F1"/>
        </patternFill>
      </fill>
    </dxf>
    <dxf>
      <font>
        <b val="1"/>
        <color rgb="FFB42318"/>
      </font>
      <fill>
        <patternFill patternType="solid">
          <bgColor rgb="FFFEECEB"/>
        </patternFill>
      </fill>
    </dxf>
    <dxf>
      <font>
        <b val="1"/>
        <color rgb="FFD97706"/>
      </font>
      <fill>
        <patternFill patternType="solid">
          <bgColor rgb="FFFFF0DB"/>
        </patternFill>
      </fill>
    </dxf>
    <dxf>
      <font>
        <b val="1"/>
        <color rgb="FF086046"/>
      </font>
      <fill>
        <patternFill patternType="solid">
          <bgColor rgb="FFE8F6F1"/>
        </patternFill>
      </fill>
    </dxf>
    <dxf>
      <font>
        <b val="1"/>
        <color rgb="FFB42318"/>
      </font>
      <fill>
        <patternFill patternType="solid">
          <bgColor rgb="FFFEECEB"/>
        </patternFill>
      </fill>
    </dxf>
    <dxf>
      <font>
        <b val="1"/>
        <color rgb="FFB42318"/>
      </font>
      <fill>
        <patternFill patternType="solid">
          <bgColor rgb="FFFEECEB"/>
        </patternFill>
      </fill>
    </dxf>
    <dxf>
      <font>
        <b val="1"/>
        <color rgb="FFD97706"/>
      </font>
      <fill>
        <patternFill patternType="solid">
          <bgColor rgb="FFFFF0DB"/>
        </patternFill>
      </fill>
    </dxf>
    <dxf>
      <font>
        <b val="1"/>
        <color rgb="FFD39A2C"/>
      </font>
      <fill>
        <patternFill patternType="solid">
          <bgColor rgb="FFFFF6DE"/>
        </patternFill>
      </fill>
    </dxf>
    <dxf>
      <font>
        <b val="1"/>
        <color rgb="FFB42318"/>
      </font>
      <fill>
        <patternFill patternType="solid">
          <bgColor rgb="FFFEECEB"/>
        </patternFill>
      </fill>
    </dxf>
    <dxf>
      <font>
        <b val="1"/>
        <color rgb="FFD97706"/>
      </font>
      <fill>
        <patternFill patternType="solid">
          <bgColor rgb="FFFFF0DB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DirigeantScoring" displayName="DirigeantScoring" ref="A4:Q60" headerRowCount="1" totalsRowCount="0" totalsRowShown="0">
  <tableColumns count="17">
    <tableColumn id="1" name="Code"/>
    <tableColumn id="2" name="N°"/>
    <tableColumn id="3" name="Question validée"/>
    <tableColumn id="4" name="Option validée"/>
    <tableColumn id="5" name="Dim. +2"/>
    <tableColumn id="6" name="Pts"/>
    <tableColumn id="7" name="Dim. +1"/>
    <tableColumn id="8" name="Pts"/>
    <tableColumn id="9" name="Dimension de qualification"/>
    <tableColumn id="10" name="Points /3"/>
    <tableColumn id="11" name="Poids"/>
    <tableColumn id="12" name="Applicable"/>
    <tableColumn id="13" name="Tag 1"/>
    <tableColumn id="14" name="Valeur 1"/>
    <tableColumn id="15" name="Tag 2"/>
    <tableColumn id="16" name="Valeur 2"/>
    <tableColumn id="17" name="Justification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RayonnementScoring" displayName="RayonnementScoring" ref="A4:J32" headerRowCount="1" totalsRowCount="0" totalsRowShown="0">
  <tableColumns count="10">
    <tableColumn id="1" name="Code"/>
    <tableColumn id="2" name="N°"/>
    <tableColumn id="3" name="Question validée"/>
    <tableColumn id="4" name="Option validée"/>
    <tableColumn id="5" name="Dimension"/>
    <tableColumn id="6" name="Points"/>
    <tableColumn id="7" name="Maximum"/>
    <tableColumn id="8" name="Tag"/>
    <tableColumn id="9" name="Valeur"/>
    <tableColumn id="10" name="Règle d’interprétation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DiagnosticLibrary" displayName="DiagnosticLibrary" ref="A4:N88" headerRowCount="1" totalsRowCount="0" totalsRowShown="0">
  <tableColumns count="14">
    <tableColumn id="1" name="Code"/>
    <tableColumn id="2" name="Parcours"/>
    <tableColumn id="3" name="N°"/>
    <tableColumn id="4" name="Question validée"/>
    <tableColumn id="5" name="Option validée"/>
    <tableColumn id="6" name="Dimension"/>
    <tableColumn id="7" name="Nature"/>
    <tableColumn id="8" name="Gravité"/>
    <tableColumn id="9" name="Niveau"/>
    <tableColumn id="10" name="Constat factuel"/>
    <tableColumn id="11" name="Difficulté précise"/>
    <tableColumn id="12" name="Hypothèse à approfondir"/>
    <tableColumn id="13" name="Question de relance"/>
    <tableColumn id="14" name="Utilisation commerciale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id="4" name="CombinedDiagnosticRules" displayName="CombinedDiagnosticRules" ref="A4:G20" headerRowCount="1" totalsRowCount="0" totalsRowShown="0">
  <tableColumns count="7">
    <tableColumn id="1" name="ID"/>
    <tableColumn id="2" name="Thème"/>
    <tableColumn id="3" name="Gravité"/>
    <tableColumn id="4" name="Condition de détection"/>
    <tableColumn id="5" name="Signaux croisés"/>
    <tableColumn id="6" name="Hypothèse à approfondir"/>
    <tableColumn id="7" name="Question de relance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id="5" name="ArchetypesTable" displayName="ArchetypesTable" ref="A4:K12" headerRowCount="1" totalsRowCount="0" totalsRowShown="0">
  <tableColumns count="11">
    <tableColumn id="1" name="Archétype"/>
    <tableColumn id="2" name="Inspiré par"/>
    <tableColumn id="3" name="Centrale"/>
    <tableColumn id="4" name="2e dimension"/>
    <tableColumn id="5" name="3e dimension"/>
    <tableColumn id="6" name="Poids 1"/>
    <tableColumn id="7" name="Poids 2"/>
    <tableColumn id="8" name="Poids 3"/>
    <tableColumn id="9" name="Traits dominants"/>
    <tableColumn id="10" name="Forces"/>
    <tableColumn id="11" name="Risque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selection activeCell="A1" sqref="A1"/>
    </sheetView>
  </sheetViews>
  <sheetFormatPr baseColWidth="8" defaultRowHeight="15"/>
  <cols>
    <col width="17.21999931335449" customWidth="1" min="1" max="1"/>
    <col width="19.44000053405762" customWidth="1" min="2" max="2"/>
    <col width="13.32999992370605" customWidth="1" min="3" max="3"/>
    <col width="14.4399995803833" customWidth="1" min="4" max="4"/>
    <col width="21.11000061035156" customWidth="1" min="5" max="5"/>
    <col width="12.77999973297119" customWidth="1" min="6" max="6"/>
    <col width="21.11000061035156" customWidth="1" min="7" max="7"/>
    <col width="10" customWidth="1" min="8" max="8"/>
  </cols>
  <sheetData>
    <row r="1" ht="22.5" customHeight="1">
      <c r="A1" s="3" t="inlineStr">
        <is>
          <t>Matrice de scoring — Profil du dirigeant &amp; Rayonnement</t>
        </is>
      </c>
    </row>
    <row r="2" ht="22.5" customHeight="1">
      <c r="A2" s="7" t="inlineStr">
        <is>
          <t>Version normative V2.1 • Scoring validé • Fiche de diagnostic commercial par prospect • Nom public final : Radar by FeexPay</t>
        </is>
      </c>
    </row>
    <row r="3" ht="22.5" customHeight="1"/>
    <row r="4" ht="22.5" customHeight="1"/>
    <row r="5" ht="22.5" customHeight="1">
      <c r="A5" s="10" t="inlineStr">
        <is>
          <t>Architecture retenue</t>
        </is>
      </c>
    </row>
    <row r="6" ht="22.5" customHeight="1">
      <c r="A6" s="19" t="inlineStr">
        <is>
          <t>Couche</t>
        </is>
      </c>
      <c r="B6" s="20" t="inlineStr">
        <is>
          <t>Sortie</t>
        </is>
      </c>
      <c r="C6" s="20" t="inlineStr">
        <is>
          <t>Public / interne</t>
        </is>
      </c>
      <c r="D6" s="20" t="inlineStr">
        <is>
          <t>Base</t>
        </is>
      </c>
      <c r="E6" s="20" t="inlineStr">
        <is>
          <t>Objectif</t>
        </is>
      </c>
      <c r="F6" s="20" t="inlineStr">
        <is>
          <t>Échelle</t>
        </is>
      </c>
      <c r="G6" s="20" t="inlineStr">
        <is>
          <t>Décision clé</t>
        </is>
      </c>
      <c r="H6" s="21" t="inlineStr">
        <is>
          <t>Statut</t>
        </is>
      </c>
    </row>
    <row r="7" ht="22.5" customHeight="1">
      <c r="A7" s="29" t="inlineStr">
        <is>
          <t>Profil du dirigeant</t>
        </is>
      </c>
      <c r="B7" s="29" t="inlineStr">
        <is>
          <t>1 archétype principal + secondaire éventuel</t>
        </is>
      </c>
      <c r="C7" s="29" t="inlineStr">
        <is>
          <t>Public</t>
        </is>
      </c>
      <c r="D7" s="29" t="inlineStr">
        <is>
          <t>14 réponses</t>
        </is>
      </c>
      <c r="E7" s="29" t="inlineStr">
        <is>
          <t>Créer une restitution ludique</t>
        </is>
      </c>
      <c r="F7" s="29" t="inlineStr">
        <is>
          <t>8 archétypes</t>
        </is>
      </c>
      <c r="G7" s="29" t="inlineStr">
        <is>
          <t>+2 dimension principale, +1 secondaire</t>
        </is>
      </c>
      <c r="H7" s="29" t="inlineStr">
        <is>
          <t>Validé — norme V2.1</t>
        </is>
      </c>
    </row>
    <row r="8" ht="22.5" customHeight="1">
      <c r="A8" s="30" t="inlineStr">
        <is>
          <t>Pilotage FeexPay</t>
        </is>
      </c>
      <c r="B8" s="30" t="inlineStr">
        <is>
          <t>Maturité opérationnelle</t>
        </is>
      </c>
      <c r="C8" s="30" t="inlineStr">
        <is>
          <t>Interne</t>
        </is>
      </c>
      <c r="D8" s="30" t="inlineStr">
        <is>
          <t>8 indicateurs</t>
        </is>
      </c>
      <c r="E8" s="30" t="inlineStr">
        <is>
          <t>Qualifier les besoins réels</t>
        </is>
      </c>
      <c r="F8" s="30" t="inlineStr">
        <is>
          <t>0–100</t>
        </is>
      </c>
      <c r="G8" s="30" t="inlineStr">
        <is>
          <t>Q9D est neutre et exclue du dénominateur</t>
        </is>
      </c>
      <c r="H8" s="30" t="inlineStr">
        <is>
          <t>Validé — norme V2.1</t>
        </is>
      </c>
    </row>
    <row r="9" ht="22.5" customHeight="1">
      <c r="A9" s="30" t="inlineStr">
        <is>
          <t>Rayonnement</t>
        </is>
      </c>
      <c r="B9" s="30" t="inlineStr">
        <is>
          <t>Score, niveau et météo</t>
        </is>
      </c>
      <c r="C9" s="30" t="inlineStr">
        <is>
          <t>Public</t>
        </is>
      </c>
      <c r="D9" s="30" t="inlineStr">
        <is>
          <t>6 questions scorées + 1 tag</t>
        </is>
      </c>
      <c r="E9" s="30" t="inlineStr">
        <is>
          <t>Mesurer les manifestations visibles</t>
        </is>
      </c>
      <c r="F9" s="30" t="inlineStr">
        <is>
          <t>0–100 / 5 niveaux</t>
        </is>
      </c>
      <c r="G9" s="30" t="inlineStr">
        <is>
          <t>Q3 qualifie sans hiérarchiser</t>
        </is>
      </c>
      <c r="H9" s="30" t="inlineStr">
        <is>
          <t>Validé — norme V2.1</t>
        </is>
      </c>
    </row>
    <row r="10" ht="22.5" customHeight="1">
      <c r="A10" s="31" t="inlineStr">
        <is>
          <t>Lecture croisée</t>
        </is>
      </c>
      <c r="B10" s="31" t="inlineStr">
        <is>
          <t>Cohérence causale</t>
        </is>
      </c>
      <c r="C10" s="31" t="inlineStr">
        <is>
          <t>Interne + rapport</t>
        </is>
      </c>
      <c r="D10" s="31" t="inlineStr">
        <is>
          <t>Pilotage vs rayonnement</t>
        </is>
      </c>
      <c r="E10" s="31" t="inlineStr">
        <is>
          <t>Lire la relation fondations → rayonnement</t>
        </is>
      </c>
      <c r="F10" s="31" t="inlineStr">
        <is>
          <t>4 lectures</t>
        </is>
      </c>
      <c r="G10" s="31" t="inlineStr">
        <is>
          <t>Seuil de solidité : 60/100</t>
        </is>
      </c>
      <c r="H10" s="31" t="inlineStr">
        <is>
          <t>Validé — norme V2.1</t>
        </is>
      </c>
    </row>
    <row r="11" ht="22.5" customHeight="1"/>
    <row r="12" ht="22.5" customHeight="1">
      <c r="A12" s="10" t="inlineStr">
        <is>
          <t>Principes de scoring</t>
        </is>
      </c>
    </row>
    <row r="13" ht="22.5" customHeight="1">
      <c r="A13" s="41" t="inlineStr">
        <is>
          <t>1</t>
        </is>
      </c>
      <c r="B13" s="29" t="inlineStr">
        <is>
          <t>Les formulations validées sont reprises sans modification.</t>
        </is>
      </c>
      <c r="C13" s="121" t="n"/>
      <c r="D13" s="121" t="n"/>
      <c r="E13" s="121" t="n"/>
      <c r="F13" s="121" t="n"/>
      <c r="G13" s="121" t="n"/>
      <c r="H13" s="121" t="n"/>
    </row>
    <row r="14" ht="22.5" customHeight="1">
      <c r="A14" s="42" t="inlineStr">
        <is>
          <t>2</t>
        </is>
      </c>
      <c r="B14" s="30" t="inlineStr">
        <is>
          <t>Le profil public et la qualification FeexPay sont deux calculs distincts.</t>
        </is>
      </c>
      <c r="C14" s="122" t="n"/>
      <c r="D14" s="122" t="n"/>
      <c r="E14" s="122" t="n"/>
      <c r="F14" s="122" t="n"/>
      <c r="G14" s="122" t="n"/>
      <c r="H14" s="122" t="n"/>
    </row>
    <row r="15" ht="22.5" customHeight="1">
      <c r="A15" s="42" t="inlineStr">
        <is>
          <t>3</t>
        </is>
      </c>
      <c r="B15" s="30" t="inlineStr">
        <is>
          <t>Une réponse opérationnellement faible ne retire aucun point à un archétype : elle alimente le score interne de pilotage.</t>
        </is>
      </c>
      <c r="C15" s="122" t="n"/>
      <c r="D15" s="122" t="n"/>
      <c r="E15" s="122" t="n"/>
      <c r="F15" s="122" t="n"/>
      <c r="G15" s="122" t="n"/>
      <c r="H15" s="122" t="n"/>
    </row>
    <row r="16" ht="22.5" customHeight="1">
      <c r="A16" s="42" t="inlineStr">
        <is>
          <t>4</t>
        </is>
      </c>
      <c r="B16" s="30" t="inlineStr">
        <is>
          <t>Être seul à encaisser n’est pas assimilé à un manque d’organisation : Q9D est non applicable au score de délégation.</t>
        </is>
      </c>
      <c r="C16" s="122" t="n"/>
      <c r="D16" s="122" t="n"/>
      <c r="E16" s="122" t="n"/>
      <c r="F16" s="122" t="n"/>
      <c r="G16" s="122" t="n"/>
      <c r="H16" s="122" t="n"/>
    </row>
    <row r="17" ht="22.5" customHeight="1">
      <c r="A17" s="42" t="inlineStr">
        <is>
          <t>5</t>
        </is>
      </c>
      <c r="B17" s="30" t="inlineStr">
        <is>
          <t>Le canal de vente, le déclencheur d’adoption et le besoin prioritaire sont des tags commerciaux, pas des notes de valeur.</t>
        </is>
      </c>
      <c r="C17" s="122" t="n"/>
      <c r="D17" s="122" t="n"/>
      <c r="E17" s="122" t="n"/>
      <c r="F17" s="122" t="n"/>
      <c r="G17" s="122" t="n"/>
      <c r="H17" s="122" t="n"/>
    </row>
    <row r="18" ht="22.5" customHeight="1">
      <c r="A18" s="42" t="inlineStr">
        <is>
          <t>6</t>
        </is>
      </c>
      <c r="B18" s="30" t="inlineStr">
        <is>
          <t>Prix, proximité, qualité et avantage distinctif sont quatre natures de différenciation non hiérarchisées.</t>
        </is>
      </c>
      <c r="C18" s="122" t="n"/>
      <c r="D18" s="122" t="n"/>
      <c r="E18" s="122" t="n"/>
      <c r="F18" s="122" t="n"/>
      <c r="G18" s="122" t="n"/>
      <c r="H18" s="122" t="n"/>
    </row>
    <row r="19" ht="22.5" customHeight="1">
      <c r="A19" s="42" t="inlineStr">
        <is>
          <t>7</t>
        </is>
      </c>
      <c r="B19" s="30" t="inlineStr">
        <is>
          <t>Le Rayonnement est traité comme une conséquence observable de la manière dont l’activité est structurée et pilotée.</t>
        </is>
      </c>
      <c r="C19" s="122" t="n"/>
      <c r="D19" s="122" t="n"/>
      <c r="E19" s="122" t="n"/>
      <c r="F19" s="122" t="n"/>
      <c r="G19" s="122" t="n"/>
      <c r="H19" s="122" t="n"/>
    </row>
    <row r="20" ht="22.5" customHeight="1">
      <c r="A20" s="43" t="inlineStr">
        <is>
          <t>8</t>
        </is>
      </c>
      <c r="B20" s="31" t="inlineStr">
        <is>
          <t>Les seuils et poids sont versionnés afin de préserver l’explicabilité des résultats.</t>
        </is>
      </c>
      <c r="C20" s="123" t="n"/>
      <c r="D20" s="123" t="n"/>
      <c r="E20" s="123" t="n"/>
      <c r="F20" s="123" t="n"/>
      <c r="G20" s="123" t="n"/>
      <c r="H20" s="123" t="n"/>
    </row>
    <row r="21" ht="22.5" customHeight="1"/>
    <row r="22" ht="22.5" customHeight="1">
      <c r="A22" s="10" t="inlineStr">
        <is>
          <t>Sources de travail</t>
        </is>
      </c>
    </row>
    <row r="23" ht="22.5" customHeight="1">
      <c r="A23" s="29" t="inlineStr">
        <is>
          <t>Questions</t>
        </is>
      </c>
      <c r="B23" s="29" t="inlineStr">
        <is>
          <t>14 questions Dirigeant et 7 questions Rayonnement validées par le client le 18 août 2026.</t>
        </is>
      </c>
      <c r="C23" s="121" t="n"/>
      <c r="D23" s="121" t="n"/>
      <c r="E23" s="121" t="n"/>
      <c r="F23" s="121" t="n"/>
      <c r="G23" s="121" t="n"/>
      <c r="H23" s="121" t="n"/>
    </row>
    <row r="24" ht="22.5" customHeight="1">
      <c r="A24" s="30" t="inlineStr">
        <is>
          <t>Profils et règles</t>
        </is>
      </c>
      <c r="B24" s="30" t="inlineStr">
        <is>
          <t>TDR_Radar_by_FeexPay_V1_Valide.docx — archétypes, empreintes, départages et niveaux.</t>
        </is>
      </c>
      <c r="C24" s="122" t="n"/>
      <c r="D24" s="122" t="n"/>
      <c r="E24" s="122" t="n"/>
      <c r="F24" s="122" t="n"/>
      <c r="G24" s="122" t="n"/>
      <c r="H24" s="122" t="n"/>
    </row>
    <row r="25" ht="22.5" customHeight="1">
      <c r="A25" s="31" t="inlineStr">
        <is>
          <t>Évolution V2.1</t>
        </is>
      </c>
      <c r="B25" s="31" t="inlineStr">
        <is>
          <t>Ajout d’une lecture prospect : faits déclarés, difficultés précises, hypothèses à confirmer et questions de relance — sans recommandation de produit.</t>
        </is>
      </c>
      <c r="C25" s="123" t="n"/>
      <c r="D25" s="123" t="n"/>
      <c r="E25" s="123" t="n"/>
      <c r="F25" s="123" t="n"/>
      <c r="G25" s="123" t="n"/>
      <c r="H25" s="123" t="n"/>
    </row>
  </sheetData>
  <mergeCells count="16">
    <mergeCell ref="A12:H12"/>
    <mergeCell ref="B14:H14"/>
    <mergeCell ref="B17:H17"/>
    <mergeCell ref="B18:H18"/>
    <mergeCell ref="B13:H13"/>
    <mergeCell ref="A5:H5"/>
    <mergeCell ref="A2:H3"/>
    <mergeCell ref="B24:H24"/>
    <mergeCell ref="B16:H16"/>
    <mergeCell ref="B15:H15"/>
    <mergeCell ref="B25:H25"/>
    <mergeCell ref="A1:H1"/>
    <mergeCell ref="B19:H19"/>
    <mergeCell ref="B20:H20"/>
    <mergeCell ref="A22:H22"/>
    <mergeCell ref="B23:H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4"/>
  <sheetViews>
    <sheetView showGridLines="0" workbookViewId="0">
      <selection activeCell="A1" sqref="A1"/>
    </sheetView>
  </sheetViews>
  <sheetFormatPr baseColWidth="8" defaultRowHeight="15"/>
  <cols>
    <col width="10.5600004196167" customWidth="1" min="1" max="1"/>
    <col width="29.44000053405762" customWidth="1" min="2" max="2"/>
    <col width="7.78000020980835" customWidth="1" min="3" max="3"/>
    <col width="8.329999923706055" customWidth="1" min="4" max="4"/>
    <col width="33.33000183105469" customWidth="1" min="5" max="5"/>
    <col width="9.439999580383301" customWidth="1" min="6" max="6"/>
    <col width="12.22000026702881" customWidth="1" min="7" max="7"/>
    <col width="10.5600004196167" customWidth="1" min="8" max="8"/>
    <col width="11.67000007629395" customWidth="1" min="9" max="9"/>
    <col width="10.5600004196167" customWidth="1" min="10" max="10"/>
    <col width="10.5600004196167" customWidth="1" min="11" max="11"/>
    <col width="10.5600004196167" customWidth="1" min="12" max="12"/>
    <col width="20" customWidth="1" min="13" max="13"/>
  </cols>
  <sheetData>
    <row r="1" ht="31.5" customHeight="1">
      <c r="A1" s="3" t="inlineStr">
        <is>
          <t>Simulateur de validation du scoring</t>
        </is>
      </c>
    </row>
    <row r="2">
      <c r="A2" s="7" t="inlineStr">
        <is>
          <t>Modifiez uniquement les cellules jaunes « Choix ». Le scoring reste inchangé et les réponses alimentent automatiquement la Fiche prospect.</t>
        </is>
      </c>
    </row>
    <row r="3">
      <c r="A3" s="59" t="inlineStr">
        <is>
          <t>Profil principal</t>
        </is>
      </c>
      <c r="B3" s="63">
        <f>INDEX($G$27:$G$34,MATCH(MAX($H$27:$H$34),$H$27:$H$34,0))</f>
        <v/>
      </c>
      <c r="C3" s="59" t="inlineStr">
        <is>
          <t>Affinité</t>
        </is>
      </c>
      <c r="D3" s="124">
        <f>MAX($H$27:$H$34)</f>
        <v/>
      </c>
      <c r="E3" s="125" t="inlineStr">
        <is>
          <t>Profil secondaire</t>
        </is>
      </c>
      <c r="F3" s="124">
        <f>IF(AND(LARGE($H$27:$H$34,2)&gt;=55,LARGE($H$27:$H$34,2)&gt;=MAX($H$27:$H$34)*90%,MAX($H$27:$H$34)-LARGE($H$27:$H$34,2)&lt;=8),INDEX($G$27:$G$34,MATCH(LARGE($H$27:$H$34,2),$H$27:$H$34,0)),"Aucun")</f>
        <v/>
      </c>
      <c r="G3" s="125" t="inlineStr">
        <is>
          <t>Pilotage interne</t>
        </is>
      </c>
      <c r="H3" s="124">
        <f>IFERROR(SUM($K$10:$K$23)/SUM($L$10:$L$23)*100,0)</f>
        <v/>
      </c>
      <c r="I3" s="59" t="inlineStr">
        <is>
          <t>Niveau de pilotage</t>
        </is>
      </c>
      <c r="J3" s="112">
        <f>IF(H3&gt;=75,"Pilotage structuré",IF(H3&gt;=50,"Pilotage partiellement structuré",IF(H3&gt;=25,"Pilotage réactif","Pilotage informel")))</f>
        <v/>
      </c>
      <c r="K3" s="122" t="n"/>
      <c r="L3" s="122" t="n"/>
      <c r="M3" s="126" t="n"/>
    </row>
    <row r="5">
      <c r="A5" s="59" t="inlineStr">
        <is>
          <t>Rayonnement</t>
        </is>
      </c>
      <c r="B5" s="124">
        <f>SUM($D$50:$D$54)</f>
        <v/>
      </c>
      <c r="C5" s="59" t="inlineStr">
        <is>
          <t>Niveau</t>
        </is>
      </c>
      <c r="D5" s="63">
        <f>IF(B5&gt;=80,"Dominant",IF(B5&gt;=60,"Challenger fort",IF(B5&gt;=40,"Acteur silencieux",IF(B5&gt;=20,"Marque fragile","Zone de disparition"))))</f>
        <v/>
      </c>
      <c r="E5" s="59" t="inlineStr">
        <is>
          <t>Météo</t>
        </is>
      </c>
      <c r="F5" s="63">
        <f>IF(B5&gt;=80,"Soleil",IF(B5&gt;=60,"Éclaircies",IF(B5&gt;=40,"Nuageux",IF(B5&gt;=20,"Pluie","Tempête"))))</f>
        <v/>
      </c>
      <c r="G5" s="59" t="inlineStr">
        <is>
          <t>Nuance météo</t>
        </is>
      </c>
      <c r="H5" s="127">
        <f>IF(B5&gt;=80,"—",IF(AND(H50-B5&lt;=5,H51&gt;=2,H52&gt;=20),"avec potentiel d’éclaircie","—"))</f>
        <v/>
      </c>
      <c r="I5" s="122" t="n"/>
      <c r="J5" s="122" t="n"/>
      <c r="K5" s="122" t="n"/>
      <c r="L5" s="122" t="n"/>
      <c r="M5" s="126" t="n"/>
    </row>
    <row r="6">
      <c r="A6" s="59" t="inlineStr">
        <is>
          <t>Lecture croisée</t>
        </is>
      </c>
      <c r="B6" s="115">
        <f>IF(AND($H$3&gt;=60,$B$5&gt;=60),"Cohérence consolidée",IF(AND($H$3&gt;=60,$B$5&lt;60),"Potentiel sous-exploité",IF(AND($H$3&lt;60,$B$5&gt;=60),"Rayonnement sous tension","Fondations à renforcer")))</f>
        <v/>
      </c>
      <c r="C6" s="122" t="n"/>
      <c r="D6" s="122" t="n"/>
      <c r="E6" s="126" t="n"/>
      <c r="F6" s="59" t="inlineStr">
        <is>
          <t>Écart R − P</t>
        </is>
      </c>
      <c r="G6" s="124">
        <f>B5-H3</f>
        <v/>
      </c>
      <c r="H6" s="59" t="inlineStr">
        <is>
          <t>Qualificatif</t>
        </is>
      </c>
      <c r="I6" s="115">
        <f>IF(ABS(G6)&lt;=15,"Cohérence relative",IF(G6&gt;15,"Le rayonnement dépasse les fondations","Les fondations dépassent le rayonnement"))</f>
        <v/>
      </c>
      <c r="J6" s="122" t="n"/>
      <c r="K6" s="122" t="n"/>
      <c r="L6" s="122" t="n"/>
      <c r="M6" s="126" t="n"/>
    </row>
    <row r="9" ht="36" customHeight="1">
      <c r="A9" s="19" t="inlineStr">
        <is>
          <t>N°</t>
        </is>
      </c>
      <c r="B9" s="20" t="inlineStr">
        <is>
          <t>Question Dirigeant</t>
        </is>
      </c>
      <c r="C9" s="20" t="inlineStr">
        <is>
          <t>Choix</t>
        </is>
      </c>
      <c r="D9" s="20" t="inlineStr">
        <is>
          <t>Code</t>
        </is>
      </c>
      <c r="E9" s="20" t="inlineStr">
        <is>
          <t>Option sélectionnée</t>
        </is>
      </c>
      <c r="F9" s="20" t="inlineStr">
        <is>
          <t>Dim. +2</t>
        </is>
      </c>
      <c r="G9" s="20" t="inlineStr">
        <is>
          <t>Dim. +1</t>
        </is>
      </c>
      <c r="H9" s="20" t="inlineStr">
        <is>
          <t>Pts qual.</t>
        </is>
      </c>
      <c r="I9" s="20" t="inlineStr">
        <is>
          <t>Poids</t>
        </is>
      </c>
      <c r="J9" s="20" t="inlineStr">
        <is>
          <t>Applicable</t>
        </is>
      </c>
      <c r="K9" s="20" t="inlineStr">
        <is>
          <t>Contribution</t>
        </is>
      </c>
      <c r="L9" s="20" t="inlineStr">
        <is>
          <t>Poids app.</t>
        </is>
      </c>
      <c r="M9" s="21" t="inlineStr">
        <is>
          <t>Tag</t>
        </is>
      </c>
    </row>
    <row r="10" ht="36" customHeight="1">
      <c r="A10" s="29" t="n">
        <v>1</v>
      </c>
      <c r="B10" s="29" t="inlineStr">
        <is>
          <t>Une nouvelle opportunité se présente. Qu’est-ce qui vous pousse le plus à avancer ?</t>
        </is>
      </c>
      <c r="C10" s="105" t="inlineStr">
        <is>
          <t>B</t>
        </is>
      </c>
      <c r="D10" s="29">
        <f>IF(C10="","","Q"&amp;A10&amp;C10)</f>
        <v/>
      </c>
      <c r="E10" s="29">
        <f>IFERROR(INDEX('Dirigeant - Matrice'!$D$5:$D$60,MATCH(D10,'Dirigeant - Matrice'!$A$5:$A$60,0)),"")</f>
        <v/>
      </c>
      <c r="F10" s="29">
        <f>IFERROR(INDEX('Dirigeant - Matrice'!$E$5:$E$60,MATCH(D10,'Dirigeant - Matrice'!$A$5:$A$60,0)),"")</f>
        <v/>
      </c>
      <c r="G10" s="29">
        <f>IFERROR(INDEX('Dirigeant - Matrice'!$G$5:$G$60,MATCH(D10,'Dirigeant - Matrice'!$A$5:$A$60,0)),"")</f>
        <v/>
      </c>
      <c r="H10" s="29">
        <f>IFERROR(INDEX('Dirigeant - Matrice'!$J$5:$J$60,MATCH(D10,'Dirigeant - Matrice'!$A$5:$A$60,0)),"")</f>
        <v/>
      </c>
      <c r="I10" s="29">
        <f>IFERROR(INDEX('Dirigeant - Matrice'!$K$5:$K$60,MATCH(D10,'Dirigeant - Matrice'!$A$5:$A$60,0)),0)</f>
        <v/>
      </c>
      <c r="J10" s="29">
        <f>IFERROR(INDEX('Dirigeant - Matrice'!$L$5:$L$60,MATCH(D10,'Dirigeant - Matrice'!$A$5:$A$60,0)),0)</f>
        <v/>
      </c>
      <c r="K10" s="29">
        <f>IF(OR(H10="",J10=0),0,H10/3*I10)</f>
        <v/>
      </c>
      <c r="L10" s="29">
        <f>I10*J10</f>
        <v/>
      </c>
      <c r="M10" s="29">
        <f>IFERROR(INDEX('Dirigeant - Matrice'!$N$5:$N$60,MATCH(D10,'Dirigeant - Matrice'!$A$5:$A$60,0)),"")&amp;IF(IFERROR(INDEX('Dirigeant - Matrice'!$P$5:$P$60,MATCH(D10,'Dirigeant - Matrice'!$A$5:$A$60,0)),"")&lt;&gt;""," | "&amp;IFERROR(INDEX('Dirigeant - Matrice'!$P$5:$P$60,MATCH(D10,'Dirigeant - Matrice'!$A$5:$A$60,0)),""),"")</f>
        <v/>
      </c>
    </row>
    <row r="11" ht="36" customHeight="1">
      <c r="A11" s="30" t="n">
        <v>2</v>
      </c>
      <c r="B11" s="30" t="inlineStr">
        <is>
          <t>Vos ventes augmentent brusquement. Quelle devient votre première priorité ?</t>
        </is>
      </c>
      <c r="C11" s="106" t="inlineStr">
        <is>
          <t>C</t>
        </is>
      </c>
      <c r="D11" s="30">
        <f>IF(C11="","","Q"&amp;A11&amp;C11)</f>
        <v/>
      </c>
      <c r="E11" s="30">
        <f>IFERROR(INDEX('Dirigeant - Matrice'!$D$5:$D$60,MATCH(D11,'Dirigeant - Matrice'!$A$5:$A$60,0)),"")</f>
        <v/>
      </c>
      <c r="F11" s="30">
        <f>IFERROR(INDEX('Dirigeant - Matrice'!$E$5:$E$60,MATCH(D11,'Dirigeant - Matrice'!$A$5:$A$60,0)),"")</f>
        <v/>
      </c>
      <c r="G11" s="30">
        <f>IFERROR(INDEX('Dirigeant - Matrice'!$G$5:$G$60,MATCH(D11,'Dirigeant - Matrice'!$A$5:$A$60,0)),"")</f>
        <v/>
      </c>
      <c r="H11" s="30">
        <f>IFERROR(INDEX('Dirigeant - Matrice'!$J$5:$J$60,MATCH(D11,'Dirigeant - Matrice'!$A$5:$A$60,0)),"")</f>
        <v/>
      </c>
      <c r="I11" s="30">
        <f>IFERROR(INDEX('Dirigeant - Matrice'!$K$5:$K$60,MATCH(D11,'Dirigeant - Matrice'!$A$5:$A$60,0)),0)</f>
        <v/>
      </c>
      <c r="J11" s="30">
        <f>IFERROR(INDEX('Dirigeant - Matrice'!$L$5:$L$60,MATCH(D11,'Dirigeant - Matrice'!$A$5:$A$60,0)),0)</f>
        <v/>
      </c>
      <c r="K11" s="30">
        <f>IF(OR(H11="",J11=0),0,H11/3*I11)</f>
        <v/>
      </c>
      <c r="L11" s="30">
        <f>I11*J11</f>
        <v/>
      </c>
      <c r="M11" s="30">
        <f>IFERROR(INDEX('Dirigeant - Matrice'!$N$5:$N$60,MATCH(D11,'Dirigeant - Matrice'!$A$5:$A$60,0)),"")&amp;IF(IFERROR(INDEX('Dirigeant - Matrice'!$P$5:$P$60,MATCH(D11,'Dirigeant - Matrice'!$A$5:$A$60,0)),"")&lt;&gt;""," | "&amp;IFERROR(INDEX('Dirigeant - Matrice'!$P$5:$P$60,MATCH(D11,'Dirigeant - Matrice'!$A$5:$A$60,0)),""),"")</f>
        <v/>
      </c>
    </row>
    <row r="12" ht="36" customHeight="1">
      <c r="A12" s="30" t="n">
        <v>3</v>
      </c>
      <c r="B12" s="30" t="inlineStr">
        <is>
          <t>Vous devez prendre une décision sans avoir toutes les informations. Que faites-vous ?</t>
        </is>
      </c>
      <c r="C12" s="106" t="inlineStr">
        <is>
          <t>B</t>
        </is>
      </c>
      <c r="D12" s="30">
        <f>IF(C12="","","Q"&amp;A12&amp;C12)</f>
        <v/>
      </c>
      <c r="E12" s="30">
        <f>IFERROR(INDEX('Dirigeant - Matrice'!$D$5:$D$60,MATCH(D12,'Dirigeant - Matrice'!$A$5:$A$60,0)),"")</f>
        <v/>
      </c>
      <c r="F12" s="30">
        <f>IFERROR(INDEX('Dirigeant - Matrice'!$E$5:$E$60,MATCH(D12,'Dirigeant - Matrice'!$A$5:$A$60,0)),"")</f>
        <v/>
      </c>
      <c r="G12" s="30">
        <f>IFERROR(INDEX('Dirigeant - Matrice'!$G$5:$G$60,MATCH(D12,'Dirigeant - Matrice'!$A$5:$A$60,0)),"")</f>
        <v/>
      </c>
      <c r="H12" s="30">
        <f>IFERROR(INDEX('Dirigeant - Matrice'!$J$5:$J$60,MATCH(D12,'Dirigeant - Matrice'!$A$5:$A$60,0)),"")</f>
        <v/>
      </c>
      <c r="I12" s="30">
        <f>IFERROR(INDEX('Dirigeant - Matrice'!$K$5:$K$60,MATCH(D12,'Dirigeant - Matrice'!$A$5:$A$60,0)),0)</f>
        <v/>
      </c>
      <c r="J12" s="30">
        <f>IFERROR(INDEX('Dirigeant - Matrice'!$L$5:$L$60,MATCH(D12,'Dirigeant - Matrice'!$A$5:$A$60,0)),0)</f>
        <v/>
      </c>
      <c r="K12" s="30">
        <f>IF(OR(H12="",J12=0),0,H12/3*I12)</f>
        <v/>
      </c>
      <c r="L12" s="30">
        <f>I12*J12</f>
        <v/>
      </c>
      <c r="M12" s="30">
        <f>IFERROR(INDEX('Dirigeant - Matrice'!$N$5:$N$60,MATCH(D12,'Dirigeant - Matrice'!$A$5:$A$60,0)),"")&amp;IF(IFERROR(INDEX('Dirigeant - Matrice'!$P$5:$P$60,MATCH(D12,'Dirigeant - Matrice'!$A$5:$A$60,0)),"")&lt;&gt;""," | "&amp;IFERROR(INDEX('Dirigeant - Matrice'!$P$5:$P$60,MATCH(D12,'Dirigeant - Matrice'!$A$5:$A$60,0)),""),"")</f>
        <v/>
      </c>
    </row>
    <row r="13" ht="36" customHeight="1">
      <c r="A13" s="30" t="n">
        <v>4</v>
      </c>
      <c r="B13" s="30" t="inlineStr">
        <is>
          <t>Comment suivez-vous généralement les ventes réalisées au cours d’une semaine ?</t>
        </is>
      </c>
      <c r="C13" s="106" t="inlineStr">
        <is>
          <t>A</t>
        </is>
      </c>
      <c r="D13" s="30">
        <f>IF(C13="","","Q"&amp;A13&amp;C13)</f>
        <v/>
      </c>
      <c r="E13" s="30">
        <f>IFERROR(INDEX('Dirigeant - Matrice'!$D$5:$D$60,MATCH(D13,'Dirigeant - Matrice'!$A$5:$A$60,0)),"")</f>
        <v/>
      </c>
      <c r="F13" s="30">
        <f>IFERROR(INDEX('Dirigeant - Matrice'!$E$5:$E$60,MATCH(D13,'Dirigeant - Matrice'!$A$5:$A$60,0)),"")</f>
        <v/>
      </c>
      <c r="G13" s="30">
        <f>IFERROR(INDEX('Dirigeant - Matrice'!$G$5:$G$60,MATCH(D13,'Dirigeant - Matrice'!$A$5:$A$60,0)),"")</f>
        <v/>
      </c>
      <c r="H13" s="30">
        <f>IFERROR(INDEX('Dirigeant - Matrice'!$J$5:$J$60,MATCH(D13,'Dirigeant - Matrice'!$A$5:$A$60,0)),"")</f>
        <v/>
      </c>
      <c r="I13" s="30">
        <f>IFERROR(INDEX('Dirigeant - Matrice'!$K$5:$K$60,MATCH(D13,'Dirigeant - Matrice'!$A$5:$A$60,0)),0)</f>
        <v/>
      </c>
      <c r="J13" s="30">
        <f>IFERROR(INDEX('Dirigeant - Matrice'!$L$5:$L$60,MATCH(D13,'Dirigeant - Matrice'!$A$5:$A$60,0)),0)</f>
        <v/>
      </c>
      <c r="K13" s="30">
        <f>IF(OR(H13="",J13=0),0,H13/3*I13)</f>
        <v/>
      </c>
      <c r="L13" s="30">
        <f>I13*J13</f>
        <v/>
      </c>
      <c r="M13" s="30">
        <f>IFERROR(INDEX('Dirigeant - Matrice'!$N$5:$N$60,MATCH(D13,'Dirigeant - Matrice'!$A$5:$A$60,0)),"")&amp;IF(IFERROR(INDEX('Dirigeant - Matrice'!$P$5:$P$60,MATCH(D13,'Dirigeant - Matrice'!$A$5:$A$60,0)),"")&lt;&gt;""," | "&amp;IFERROR(INDEX('Dirigeant - Matrice'!$P$5:$P$60,MATCH(D13,'Dirigeant - Matrice'!$A$5:$A$60,0)),""),"")</f>
        <v/>
      </c>
    </row>
    <row r="14" ht="36" customHeight="1">
      <c r="A14" s="30" t="n">
        <v>5</v>
      </c>
      <c r="B14" s="30" t="inlineStr">
        <is>
          <t>Le montant encaissé ne correspond pas aux ventes réalisées. Quel est votre premier réflexe ?</t>
        </is>
      </c>
      <c r="C14" s="106" t="inlineStr">
        <is>
          <t>D</t>
        </is>
      </c>
      <c r="D14" s="30">
        <f>IF(C14="","","Q"&amp;A14&amp;C14)</f>
        <v/>
      </c>
      <c r="E14" s="30">
        <f>IFERROR(INDEX('Dirigeant - Matrice'!$D$5:$D$60,MATCH(D14,'Dirigeant - Matrice'!$A$5:$A$60,0)),"")</f>
        <v/>
      </c>
      <c r="F14" s="30">
        <f>IFERROR(INDEX('Dirigeant - Matrice'!$E$5:$E$60,MATCH(D14,'Dirigeant - Matrice'!$A$5:$A$60,0)),"")</f>
        <v/>
      </c>
      <c r="G14" s="30">
        <f>IFERROR(INDEX('Dirigeant - Matrice'!$G$5:$G$60,MATCH(D14,'Dirigeant - Matrice'!$A$5:$A$60,0)),"")</f>
        <v/>
      </c>
      <c r="H14" s="30">
        <f>IFERROR(INDEX('Dirigeant - Matrice'!$J$5:$J$60,MATCH(D14,'Dirigeant - Matrice'!$A$5:$A$60,0)),"")</f>
        <v/>
      </c>
      <c r="I14" s="30">
        <f>IFERROR(INDEX('Dirigeant - Matrice'!$K$5:$K$60,MATCH(D14,'Dirigeant - Matrice'!$A$5:$A$60,0)),0)</f>
        <v/>
      </c>
      <c r="J14" s="30">
        <f>IFERROR(INDEX('Dirigeant - Matrice'!$L$5:$L$60,MATCH(D14,'Dirigeant - Matrice'!$A$5:$A$60,0)),0)</f>
        <v/>
      </c>
      <c r="K14" s="30">
        <f>IF(OR(H14="",J14=0),0,H14/3*I14)</f>
        <v/>
      </c>
      <c r="L14" s="30">
        <f>I14*J14</f>
        <v/>
      </c>
      <c r="M14" s="30">
        <f>IFERROR(INDEX('Dirigeant - Matrice'!$N$5:$N$60,MATCH(D14,'Dirigeant - Matrice'!$A$5:$A$60,0)),"")&amp;IF(IFERROR(INDEX('Dirigeant - Matrice'!$P$5:$P$60,MATCH(D14,'Dirigeant - Matrice'!$A$5:$A$60,0)),"")&lt;&gt;""," | "&amp;IFERROR(INDEX('Dirigeant - Matrice'!$P$5:$P$60,MATCH(D14,'Dirigeant - Matrice'!$A$5:$A$60,0)),""),"")</f>
        <v/>
      </c>
    </row>
    <row r="15" ht="36" customHeight="1">
      <c r="A15" s="30" t="n">
        <v>6</v>
      </c>
      <c r="B15" s="30" t="inlineStr">
        <is>
          <t>Vos clients utilisent plusieurs moyens de paiement. Comment gardez-vous une vue d’ensemble ?</t>
        </is>
      </c>
      <c r="C15" s="106" t="inlineStr">
        <is>
          <t>B</t>
        </is>
      </c>
      <c r="D15" s="30">
        <f>IF(C15="","","Q"&amp;A15&amp;C15)</f>
        <v/>
      </c>
      <c r="E15" s="30">
        <f>IFERROR(INDEX('Dirigeant - Matrice'!$D$5:$D$60,MATCH(D15,'Dirigeant - Matrice'!$A$5:$A$60,0)),"")</f>
        <v/>
      </c>
      <c r="F15" s="30">
        <f>IFERROR(INDEX('Dirigeant - Matrice'!$E$5:$E$60,MATCH(D15,'Dirigeant - Matrice'!$A$5:$A$60,0)),"")</f>
        <v/>
      </c>
      <c r="G15" s="30">
        <f>IFERROR(INDEX('Dirigeant - Matrice'!$G$5:$G$60,MATCH(D15,'Dirigeant - Matrice'!$A$5:$A$60,0)),"")</f>
        <v/>
      </c>
      <c r="H15" s="30">
        <f>IFERROR(INDEX('Dirigeant - Matrice'!$J$5:$J$60,MATCH(D15,'Dirigeant - Matrice'!$A$5:$A$60,0)),"")</f>
        <v/>
      </c>
      <c r="I15" s="30">
        <f>IFERROR(INDEX('Dirigeant - Matrice'!$K$5:$K$60,MATCH(D15,'Dirigeant - Matrice'!$A$5:$A$60,0)),0)</f>
        <v/>
      </c>
      <c r="J15" s="30">
        <f>IFERROR(INDEX('Dirigeant - Matrice'!$L$5:$L$60,MATCH(D15,'Dirigeant - Matrice'!$A$5:$A$60,0)),0)</f>
        <v/>
      </c>
      <c r="K15" s="30">
        <f>IF(OR(H15="",J15=0),0,H15/3*I15)</f>
        <v/>
      </c>
      <c r="L15" s="30">
        <f>I15*J15</f>
        <v/>
      </c>
      <c r="M15" s="30">
        <f>IFERROR(INDEX('Dirigeant - Matrice'!$N$5:$N$60,MATCH(D15,'Dirigeant - Matrice'!$A$5:$A$60,0)),"")&amp;IF(IFERROR(INDEX('Dirigeant - Matrice'!$P$5:$P$60,MATCH(D15,'Dirigeant - Matrice'!$A$5:$A$60,0)),"")&lt;&gt;""," | "&amp;IFERROR(INDEX('Dirigeant - Matrice'!$P$5:$P$60,MATCH(D15,'Dirigeant - Matrice'!$A$5:$A$60,0)),""),"")</f>
        <v/>
      </c>
    </row>
    <row r="16" ht="36" customHeight="1">
      <c r="A16" s="30" t="n">
        <v>7</v>
      </c>
      <c r="B16" s="30" t="inlineStr">
        <is>
          <t>À quel moment savez-vous réellement ce que votre entreprise peut dépenser ?</t>
        </is>
      </c>
      <c r="C16" s="106" t="inlineStr">
        <is>
          <t>A</t>
        </is>
      </c>
      <c r="D16" s="30">
        <f>IF(C16="","","Q"&amp;A16&amp;C16)</f>
        <v/>
      </c>
      <c r="E16" s="30">
        <f>IFERROR(INDEX('Dirigeant - Matrice'!$D$5:$D$60,MATCH(D16,'Dirigeant - Matrice'!$A$5:$A$60,0)),"")</f>
        <v/>
      </c>
      <c r="F16" s="30">
        <f>IFERROR(INDEX('Dirigeant - Matrice'!$E$5:$E$60,MATCH(D16,'Dirigeant - Matrice'!$A$5:$A$60,0)),"")</f>
        <v/>
      </c>
      <c r="G16" s="30">
        <f>IFERROR(INDEX('Dirigeant - Matrice'!$G$5:$G$60,MATCH(D16,'Dirigeant - Matrice'!$A$5:$A$60,0)),"")</f>
        <v/>
      </c>
      <c r="H16" s="30">
        <f>IFERROR(INDEX('Dirigeant - Matrice'!$J$5:$J$60,MATCH(D16,'Dirigeant - Matrice'!$A$5:$A$60,0)),"")</f>
        <v/>
      </c>
      <c r="I16" s="30">
        <f>IFERROR(INDEX('Dirigeant - Matrice'!$K$5:$K$60,MATCH(D16,'Dirigeant - Matrice'!$A$5:$A$60,0)),0)</f>
        <v/>
      </c>
      <c r="J16" s="30">
        <f>IFERROR(INDEX('Dirigeant - Matrice'!$L$5:$L$60,MATCH(D16,'Dirigeant - Matrice'!$A$5:$A$60,0)),0)</f>
        <v/>
      </c>
      <c r="K16" s="30">
        <f>IF(OR(H16="",J16=0),0,H16/3*I16)</f>
        <v/>
      </c>
      <c r="L16" s="30">
        <f>I16*J16</f>
        <v/>
      </c>
      <c r="M16" s="30">
        <f>IFERROR(INDEX('Dirigeant - Matrice'!$N$5:$N$60,MATCH(D16,'Dirigeant - Matrice'!$A$5:$A$60,0)),"")&amp;IF(IFERROR(INDEX('Dirigeant - Matrice'!$P$5:$P$60,MATCH(D16,'Dirigeant - Matrice'!$A$5:$A$60,0)),"")&lt;&gt;""," | "&amp;IFERROR(INDEX('Dirigeant - Matrice'!$P$5:$P$60,MATCH(D16,'Dirigeant - Matrice'!$A$5:$A$60,0)),""),"")</f>
        <v/>
      </c>
    </row>
    <row r="17" ht="36" customHeight="1">
      <c r="A17" s="30" t="n">
        <v>8</v>
      </c>
      <c r="B17" s="30" t="inlineStr">
        <is>
          <t>Lorsque vient le moment de faire la comptabilité, dans quel état se trouvent vos informations ?</t>
        </is>
      </c>
      <c r="C17" s="106" t="inlineStr">
        <is>
          <t>D</t>
        </is>
      </c>
      <c r="D17" s="30">
        <f>IF(C17="","","Q"&amp;A17&amp;C17)</f>
        <v/>
      </c>
      <c r="E17" s="30">
        <f>IFERROR(INDEX('Dirigeant - Matrice'!$D$5:$D$60,MATCH(D17,'Dirigeant - Matrice'!$A$5:$A$60,0)),"")</f>
        <v/>
      </c>
      <c r="F17" s="30">
        <f>IFERROR(INDEX('Dirigeant - Matrice'!$E$5:$E$60,MATCH(D17,'Dirigeant - Matrice'!$A$5:$A$60,0)),"")</f>
        <v/>
      </c>
      <c r="G17" s="30">
        <f>IFERROR(INDEX('Dirigeant - Matrice'!$G$5:$G$60,MATCH(D17,'Dirigeant - Matrice'!$A$5:$A$60,0)),"")</f>
        <v/>
      </c>
      <c r="H17" s="30">
        <f>IFERROR(INDEX('Dirigeant - Matrice'!$J$5:$J$60,MATCH(D17,'Dirigeant - Matrice'!$A$5:$A$60,0)),"")</f>
        <v/>
      </c>
      <c r="I17" s="30">
        <f>IFERROR(INDEX('Dirigeant - Matrice'!$K$5:$K$60,MATCH(D17,'Dirigeant - Matrice'!$A$5:$A$60,0)),0)</f>
        <v/>
      </c>
      <c r="J17" s="30">
        <f>IFERROR(INDEX('Dirigeant - Matrice'!$L$5:$L$60,MATCH(D17,'Dirigeant - Matrice'!$A$5:$A$60,0)),0)</f>
        <v/>
      </c>
      <c r="K17" s="30">
        <f>IF(OR(H17="",J17=0),0,H17/3*I17)</f>
        <v/>
      </c>
      <c r="L17" s="30">
        <f>I17*J17</f>
        <v/>
      </c>
      <c r="M17" s="30">
        <f>IFERROR(INDEX('Dirigeant - Matrice'!$N$5:$N$60,MATCH(D17,'Dirigeant - Matrice'!$A$5:$A$60,0)),"")&amp;IF(IFERROR(INDEX('Dirigeant - Matrice'!$P$5:$P$60,MATCH(D17,'Dirigeant - Matrice'!$A$5:$A$60,0)),"")&lt;&gt;""," | "&amp;IFERROR(INDEX('Dirigeant - Matrice'!$P$5:$P$60,MATCH(D17,'Dirigeant - Matrice'!$A$5:$A$60,0)),""),"")</f>
        <v/>
      </c>
    </row>
    <row r="18" ht="36" customHeight="1">
      <c r="A18" s="30" t="n">
        <v>9</v>
      </c>
      <c r="B18" s="30" t="inlineStr">
        <is>
          <t>Lorsque d’autres personnes encaissent pour votre entreprise, comment suivez-vous leur activité ?</t>
        </is>
      </c>
      <c r="C18" s="106" t="inlineStr">
        <is>
          <t>D</t>
        </is>
      </c>
      <c r="D18" s="30">
        <f>IF(C18="","","Q"&amp;A18&amp;C18)</f>
        <v/>
      </c>
      <c r="E18" s="30">
        <f>IFERROR(INDEX('Dirigeant - Matrice'!$D$5:$D$60,MATCH(D18,'Dirigeant - Matrice'!$A$5:$A$60,0)),"")</f>
        <v/>
      </c>
      <c r="F18" s="30">
        <f>IFERROR(INDEX('Dirigeant - Matrice'!$E$5:$E$60,MATCH(D18,'Dirigeant - Matrice'!$A$5:$A$60,0)),"")</f>
        <v/>
      </c>
      <c r="G18" s="30">
        <f>IFERROR(INDEX('Dirigeant - Matrice'!$G$5:$G$60,MATCH(D18,'Dirigeant - Matrice'!$A$5:$A$60,0)),"")</f>
        <v/>
      </c>
      <c r="H18" s="30">
        <f>IFERROR(INDEX('Dirigeant - Matrice'!$J$5:$J$60,MATCH(D18,'Dirigeant - Matrice'!$A$5:$A$60,0)),"")</f>
        <v/>
      </c>
      <c r="I18" s="30">
        <f>IFERROR(INDEX('Dirigeant - Matrice'!$K$5:$K$60,MATCH(D18,'Dirigeant - Matrice'!$A$5:$A$60,0)),0)</f>
        <v/>
      </c>
      <c r="J18" s="30">
        <f>IFERROR(INDEX('Dirigeant - Matrice'!$L$5:$L$60,MATCH(D18,'Dirigeant - Matrice'!$A$5:$A$60,0)),0)</f>
        <v/>
      </c>
      <c r="K18" s="30">
        <f>IF(OR(H18="",J18=0),0,H18/3*I18)</f>
        <v/>
      </c>
      <c r="L18" s="30">
        <f>I18*J18</f>
        <v/>
      </c>
      <c r="M18" s="30">
        <f>IFERROR(INDEX('Dirigeant - Matrice'!$N$5:$N$60,MATCH(D18,'Dirigeant - Matrice'!$A$5:$A$60,0)),"")&amp;IF(IFERROR(INDEX('Dirigeant - Matrice'!$P$5:$P$60,MATCH(D18,'Dirigeant - Matrice'!$A$5:$A$60,0)),"")&lt;&gt;""," | "&amp;IFERROR(INDEX('Dirigeant - Matrice'!$P$5:$P$60,MATCH(D18,'Dirigeant - Matrice'!$A$5:$A$60,0)),""),"")</f>
        <v/>
      </c>
    </row>
    <row r="19" ht="36" customHeight="1">
      <c r="A19" s="30" t="n">
        <v>10</v>
      </c>
      <c r="B19" s="30" t="inlineStr">
        <is>
          <t>Lorsqu’un client souhaite vous payer à distance, comment procédez-vous généralement ?</t>
        </is>
      </c>
      <c r="C19" s="106" t="inlineStr">
        <is>
          <t>B</t>
        </is>
      </c>
      <c r="D19" s="30">
        <f>IF(C19="","","Q"&amp;A19&amp;C19)</f>
        <v/>
      </c>
      <c r="E19" s="30">
        <f>IFERROR(INDEX('Dirigeant - Matrice'!$D$5:$D$60,MATCH(D19,'Dirigeant - Matrice'!$A$5:$A$60,0)),"")</f>
        <v/>
      </c>
      <c r="F19" s="30">
        <f>IFERROR(INDEX('Dirigeant - Matrice'!$E$5:$E$60,MATCH(D19,'Dirigeant - Matrice'!$A$5:$A$60,0)),"")</f>
        <v/>
      </c>
      <c r="G19" s="30">
        <f>IFERROR(INDEX('Dirigeant - Matrice'!$G$5:$G$60,MATCH(D19,'Dirigeant - Matrice'!$A$5:$A$60,0)),"")</f>
        <v/>
      </c>
      <c r="H19" s="30">
        <f>IFERROR(INDEX('Dirigeant - Matrice'!$J$5:$J$60,MATCH(D19,'Dirigeant - Matrice'!$A$5:$A$60,0)),"")</f>
        <v/>
      </c>
      <c r="I19" s="30">
        <f>IFERROR(INDEX('Dirigeant - Matrice'!$K$5:$K$60,MATCH(D19,'Dirigeant - Matrice'!$A$5:$A$60,0)),0)</f>
        <v/>
      </c>
      <c r="J19" s="30">
        <f>IFERROR(INDEX('Dirigeant - Matrice'!$L$5:$L$60,MATCH(D19,'Dirigeant - Matrice'!$A$5:$A$60,0)),0)</f>
        <v/>
      </c>
      <c r="K19" s="30">
        <f>IF(OR(H19="",J19=0),0,H19/3*I19)</f>
        <v/>
      </c>
      <c r="L19" s="30">
        <f>I19*J19</f>
        <v/>
      </c>
      <c r="M19" s="30">
        <f>IFERROR(INDEX('Dirigeant - Matrice'!$N$5:$N$60,MATCH(D19,'Dirigeant - Matrice'!$A$5:$A$60,0)),"")&amp;IF(IFERROR(INDEX('Dirigeant - Matrice'!$P$5:$P$60,MATCH(D19,'Dirigeant - Matrice'!$A$5:$A$60,0)),"")&lt;&gt;""," | "&amp;IFERROR(INDEX('Dirigeant - Matrice'!$P$5:$P$60,MATCH(D19,'Dirigeant - Matrice'!$A$5:$A$60,0)),""),"")</f>
        <v/>
      </c>
    </row>
    <row r="20" ht="36" customHeight="1">
      <c r="A20" s="30" t="n">
        <v>11</v>
      </c>
      <c r="B20" s="30" t="inlineStr">
        <is>
          <t>Quelle place le digital occupe-t-il actuellement dans vos ventes ?</t>
        </is>
      </c>
      <c r="C20" s="106" t="inlineStr">
        <is>
          <t>C</t>
        </is>
      </c>
      <c r="D20" s="30">
        <f>IF(C20="","","Q"&amp;A20&amp;C20)</f>
        <v/>
      </c>
      <c r="E20" s="30">
        <f>IFERROR(INDEX('Dirigeant - Matrice'!$D$5:$D$60,MATCH(D20,'Dirigeant - Matrice'!$A$5:$A$60,0)),"")</f>
        <v/>
      </c>
      <c r="F20" s="30">
        <f>IFERROR(INDEX('Dirigeant - Matrice'!$E$5:$E$60,MATCH(D20,'Dirigeant - Matrice'!$A$5:$A$60,0)),"")</f>
        <v/>
      </c>
      <c r="G20" s="30">
        <f>IFERROR(INDEX('Dirigeant - Matrice'!$G$5:$G$60,MATCH(D20,'Dirigeant - Matrice'!$A$5:$A$60,0)),"")</f>
        <v/>
      </c>
      <c r="H20" s="30">
        <f>IFERROR(INDEX('Dirigeant - Matrice'!$J$5:$J$60,MATCH(D20,'Dirigeant - Matrice'!$A$5:$A$60,0)),"")</f>
        <v/>
      </c>
      <c r="I20" s="30">
        <f>IFERROR(INDEX('Dirigeant - Matrice'!$K$5:$K$60,MATCH(D20,'Dirigeant - Matrice'!$A$5:$A$60,0)),0)</f>
        <v/>
      </c>
      <c r="J20" s="30">
        <f>IFERROR(INDEX('Dirigeant - Matrice'!$L$5:$L$60,MATCH(D20,'Dirigeant - Matrice'!$A$5:$A$60,0)),0)</f>
        <v/>
      </c>
      <c r="K20" s="30">
        <f>IF(OR(H20="",J20=0),0,H20/3*I20)</f>
        <v/>
      </c>
      <c r="L20" s="30">
        <f>I20*J20</f>
        <v/>
      </c>
      <c r="M20" s="30">
        <f>IFERROR(INDEX('Dirigeant - Matrice'!$N$5:$N$60,MATCH(D20,'Dirigeant - Matrice'!$A$5:$A$60,0)),"")&amp;IF(IFERROR(INDEX('Dirigeant - Matrice'!$P$5:$P$60,MATCH(D20,'Dirigeant - Matrice'!$A$5:$A$60,0)),"")&lt;&gt;""," | "&amp;IFERROR(INDEX('Dirigeant - Matrice'!$P$5:$P$60,MATCH(D20,'Dirigeant - Matrice'!$A$5:$A$60,0)),""),"")</f>
        <v/>
      </c>
    </row>
    <row r="21" ht="36" customHeight="1">
      <c r="A21" s="30" t="n">
        <v>12</v>
      </c>
      <c r="B21" s="30" t="inlineStr">
        <is>
          <t>Un client affirme avoir payé, mais vous ne retrouvez pas immédiatement son paiement. Que faites-vous ?</t>
        </is>
      </c>
      <c r="C21" s="106" t="inlineStr">
        <is>
          <t>A</t>
        </is>
      </c>
      <c r="D21" s="30">
        <f>IF(C21="","","Q"&amp;A21&amp;C21)</f>
        <v/>
      </c>
      <c r="E21" s="30">
        <f>IFERROR(INDEX('Dirigeant - Matrice'!$D$5:$D$60,MATCH(D21,'Dirigeant - Matrice'!$A$5:$A$60,0)),"")</f>
        <v/>
      </c>
      <c r="F21" s="30">
        <f>IFERROR(INDEX('Dirigeant - Matrice'!$E$5:$E$60,MATCH(D21,'Dirigeant - Matrice'!$A$5:$A$60,0)),"")</f>
        <v/>
      </c>
      <c r="G21" s="30">
        <f>IFERROR(INDEX('Dirigeant - Matrice'!$G$5:$G$60,MATCH(D21,'Dirigeant - Matrice'!$A$5:$A$60,0)),"")</f>
        <v/>
      </c>
      <c r="H21" s="30">
        <f>IFERROR(INDEX('Dirigeant - Matrice'!$J$5:$J$60,MATCH(D21,'Dirigeant - Matrice'!$A$5:$A$60,0)),"")</f>
        <v/>
      </c>
      <c r="I21" s="30">
        <f>IFERROR(INDEX('Dirigeant - Matrice'!$K$5:$K$60,MATCH(D21,'Dirigeant - Matrice'!$A$5:$A$60,0)),0)</f>
        <v/>
      </c>
      <c r="J21" s="30">
        <f>IFERROR(INDEX('Dirigeant - Matrice'!$L$5:$L$60,MATCH(D21,'Dirigeant - Matrice'!$A$5:$A$60,0)),0)</f>
        <v/>
      </c>
      <c r="K21" s="30">
        <f>IF(OR(H21="",J21=0),0,H21/3*I21)</f>
        <v/>
      </c>
      <c r="L21" s="30">
        <f>I21*J21</f>
        <v/>
      </c>
      <c r="M21" s="30">
        <f>IFERROR(INDEX('Dirigeant - Matrice'!$N$5:$N$60,MATCH(D21,'Dirigeant - Matrice'!$A$5:$A$60,0)),"")&amp;IF(IFERROR(INDEX('Dirigeant - Matrice'!$P$5:$P$60,MATCH(D21,'Dirigeant - Matrice'!$A$5:$A$60,0)),"")&lt;&gt;""," | "&amp;IFERROR(INDEX('Dirigeant - Matrice'!$P$5:$P$60,MATCH(D21,'Dirigeant - Matrice'!$A$5:$A$60,0)),""),"")</f>
        <v/>
      </c>
    </row>
    <row r="22" ht="36" customHeight="1">
      <c r="A22" s="30" t="n">
        <v>13</v>
      </c>
      <c r="B22" s="30" t="inlineStr">
        <is>
          <t>Avant d’adopter un nouvel outil pour votre entreprise, qu’est-ce qui compte le plus pour vous ?</t>
        </is>
      </c>
      <c r="C22" s="106" t="inlineStr">
        <is>
          <t>D</t>
        </is>
      </c>
      <c r="D22" s="30">
        <f>IF(C22="","","Q"&amp;A22&amp;C22)</f>
        <v/>
      </c>
      <c r="E22" s="30">
        <f>IFERROR(INDEX('Dirigeant - Matrice'!$D$5:$D$60,MATCH(D22,'Dirigeant - Matrice'!$A$5:$A$60,0)),"")</f>
        <v/>
      </c>
      <c r="F22" s="30">
        <f>IFERROR(INDEX('Dirigeant - Matrice'!$E$5:$E$60,MATCH(D22,'Dirigeant - Matrice'!$A$5:$A$60,0)),"")</f>
        <v/>
      </c>
      <c r="G22" s="30">
        <f>IFERROR(INDEX('Dirigeant - Matrice'!$G$5:$G$60,MATCH(D22,'Dirigeant - Matrice'!$A$5:$A$60,0)),"")</f>
        <v/>
      </c>
      <c r="H22" s="30">
        <f>IFERROR(INDEX('Dirigeant - Matrice'!$J$5:$J$60,MATCH(D22,'Dirigeant - Matrice'!$A$5:$A$60,0)),"")</f>
        <v/>
      </c>
      <c r="I22" s="30">
        <f>IFERROR(INDEX('Dirigeant - Matrice'!$K$5:$K$60,MATCH(D22,'Dirigeant - Matrice'!$A$5:$A$60,0)),0)</f>
        <v/>
      </c>
      <c r="J22" s="30">
        <f>IFERROR(INDEX('Dirigeant - Matrice'!$L$5:$L$60,MATCH(D22,'Dirigeant - Matrice'!$A$5:$A$60,0)),0)</f>
        <v/>
      </c>
      <c r="K22" s="30">
        <f>IF(OR(H22="",J22=0),0,H22/3*I22)</f>
        <v/>
      </c>
      <c r="L22" s="30">
        <f>I22*J22</f>
        <v/>
      </c>
      <c r="M22" s="30">
        <f>IFERROR(INDEX('Dirigeant - Matrice'!$N$5:$N$60,MATCH(D22,'Dirigeant - Matrice'!$A$5:$A$60,0)),"")&amp;IF(IFERROR(INDEX('Dirigeant - Matrice'!$P$5:$P$60,MATCH(D22,'Dirigeant - Matrice'!$A$5:$A$60,0)),"")&lt;&gt;""," | "&amp;IFERROR(INDEX('Dirigeant - Matrice'!$P$5:$P$60,MATCH(D22,'Dirigeant - Matrice'!$A$5:$A$60,0)),""),"")</f>
        <v/>
      </c>
    </row>
    <row r="23" ht="36" customHeight="1">
      <c r="A23" s="31" t="n">
        <v>14</v>
      </c>
      <c r="B23" s="31" t="inlineStr">
        <is>
          <t>Dans un an, quel progrès vous donnerait le plus le sentiment de mieux piloter votre entreprise ?</t>
        </is>
      </c>
      <c r="C23" s="107" t="inlineStr">
        <is>
          <t>A</t>
        </is>
      </c>
      <c r="D23" s="31">
        <f>IF(C23="","","Q"&amp;A23&amp;C23)</f>
        <v/>
      </c>
      <c r="E23" s="31">
        <f>IFERROR(INDEX('Dirigeant - Matrice'!$D$5:$D$60,MATCH(D23,'Dirigeant - Matrice'!$A$5:$A$60,0)),"")</f>
        <v/>
      </c>
      <c r="F23" s="31">
        <f>IFERROR(INDEX('Dirigeant - Matrice'!$E$5:$E$60,MATCH(D23,'Dirigeant - Matrice'!$A$5:$A$60,0)),"")</f>
        <v/>
      </c>
      <c r="G23" s="31">
        <f>IFERROR(INDEX('Dirigeant - Matrice'!$G$5:$G$60,MATCH(D23,'Dirigeant - Matrice'!$A$5:$A$60,0)),"")</f>
        <v/>
      </c>
      <c r="H23" s="31">
        <f>IFERROR(INDEX('Dirigeant - Matrice'!$J$5:$J$60,MATCH(D23,'Dirigeant - Matrice'!$A$5:$A$60,0)),"")</f>
        <v/>
      </c>
      <c r="I23" s="31">
        <f>IFERROR(INDEX('Dirigeant - Matrice'!$K$5:$K$60,MATCH(D23,'Dirigeant - Matrice'!$A$5:$A$60,0)),0)</f>
        <v/>
      </c>
      <c r="J23" s="31">
        <f>IFERROR(INDEX('Dirigeant - Matrice'!$L$5:$L$60,MATCH(D23,'Dirigeant - Matrice'!$A$5:$A$60,0)),0)</f>
        <v/>
      </c>
      <c r="K23" s="31">
        <f>IF(OR(H23="",J23=0),0,H23/3*I23)</f>
        <v/>
      </c>
      <c r="L23" s="31">
        <f>I23*J23</f>
        <v/>
      </c>
      <c r="M23" s="31">
        <f>IFERROR(INDEX('Dirigeant - Matrice'!$N$5:$N$60,MATCH(D23,'Dirigeant - Matrice'!$A$5:$A$60,0)),"")&amp;IF(IFERROR(INDEX('Dirigeant - Matrice'!$P$5:$P$60,MATCH(D23,'Dirigeant - Matrice'!$A$5:$A$60,0)),"")&lt;&gt;""," | "&amp;IFERROR(INDEX('Dirigeant - Matrice'!$P$5:$P$60,MATCH(D23,'Dirigeant - Matrice'!$A$5:$A$60,0)),""),"")</f>
        <v/>
      </c>
    </row>
    <row r="24" ht="36" customHeight="1"/>
    <row r="25" ht="36" customHeight="1">
      <c r="A25" s="10" t="inlineStr">
        <is>
          <t>Scores des dimensions</t>
        </is>
      </c>
      <c r="G25" s="10" t="inlineStr">
        <is>
          <t>Affinités des archétypes</t>
        </is>
      </c>
    </row>
    <row r="26" ht="36" customHeight="1">
      <c r="A26" s="19" t="inlineStr">
        <is>
          <t>Dimension</t>
        </is>
      </c>
      <c r="B26" s="20" t="inlineStr">
        <is>
          <t>Code</t>
        </is>
      </c>
      <c r="C26" s="20" t="inlineStr">
        <is>
          <t>Score brut</t>
        </is>
      </c>
      <c r="D26" s="20" t="inlineStr">
        <is>
          <t>Maximum</t>
        </is>
      </c>
      <c r="E26" s="21" t="inlineStr">
        <is>
          <t>Score normalisé</t>
        </is>
      </c>
      <c r="G26" s="19" t="inlineStr">
        <is>
          <t>Archétype</t>
        </is>
      </c>
      <c r="H26" s="20" t="inlineStr">
        <is>
          <t>Affinité</t>
        </is>
      </c>
      <c r="I26" s="21" t="inlineStr">
        <is>
          <t>Dimension centrale</t>
        </is>
      </c>
    </row>
    <row r="27" ht="36" customHeight="1">
      <c r="A27" s="29" t="inlineStr">
        <is>
          <t>Vision</t>
        </is>
      </c>
      <c r="B27" s="29" t="inlineStr">
        <is>
          <t>VIS</t>
        </is>
      </c>
      <c r="C27" s="29">
        <f>COUNTIF($F$10:$F$23,B27)*2+COUNTIF($G$10:$G$23,B27)</f>
        <v/>
      </c>
      <c r="D27" s="29">
        <f>INDEX('Contrôles'!$E$5:$E$12,MATCH(B27,'Contrôles'!$B$5:$B$12,0))</f>
        <v/>
      </c>
      <c r="E27" s="128">
        <f>IFERROR(C27/D27*100,0)</f>
        <v/>
      </c>
      <c r="G27" s="29" t="inlineStr">
        <is>
          <t>Stratège</t>
        </is>
      </c>
      <c r="H27" s="128">
        <f>$E$28*50%+$E$33*30%+$E$30*20%</f>
        <v/>
      </c>
      <c r="I27" s="29" t="inlineStr">
        <is>
          <t>STR</t>
        </is>
      </c>
    </row>
    <row r="28" ht="36" customHeight="1">
      <c r="A28" s="30" t="inlineStr">
        <is>
          <t>Stratégie</t>
        </is>
      </c>
      <c r="B28" s="30" t="inlineStr">
        <is>
          <t>STR</t>
        </is>
      </c>
      <c r="C28" s="30">
        <f>COUNTIF($F$10:$F$23,B28)*2+COUNTIF($G$10:$G$23,B28)</f>
        <v/>
      </c>
      <c r="D28" s="30">
        <f>INDEX('Contrôles'!$E$5:$E$12,MATCH(B28,'Contrôles'!$B$5:$B$12,0))</f>
        <v/>
      </c>
      <c r="E28" s="129">
        <f>IFERROR(C28/D28*100,0)</f>
        <v/>
      </c>
      <c r="G28" s="30" t="inlineStr">
        <is>
          <t>Visionnaire</t>
        </is>
      </c>
      <c r="H28" s="129">
        <f>$E$27*50%+$E$31*30%+$E$34*20%</f>
        <v/>
      </c>
      <c r="I28" s="30" t="inlineStr">
        <is>
          <t>VIS</t>
        </is>
      </c>
    </row>
    <row r="29" ht="36" customHeight="1">
      <c r="A29" s="30" t="inlineStr">
        <is>
          <t>Exécution</t>
        </is>
      </c>
      <c r="B29" s="30" t="inlineStr">
        <is>
          <t>EXE</t>
        </is>
      </c>
      <c r="C29" s="30">
        <f>COUNTIF($F$10:$F$23,B29)*2+COUNTIF($G$10:$G$23,B29)</f>
        <v/>
      </c>
      <c r="D29" s="30">
        <f>INDEX('Contrôles'!$E$5:$E$12,MATCH(B29,'Contrôles'!$B$5:$B$12,0))</f>
        <v/>
      </c>
      <c r="E29" s="129">
        <f>IFERROR(C29/D29*100,0)</f>
        <v/>
      </c>
      <c r="G29" s="30" t="inlineStr">
        <is>
          <t>Bâtisseur</t>
        </is>
      </c>
      <c r="H29" s="129">
        <f>$E$29*50%+$E$30*35%+$E$28*15%</f>
        <v/>
      </c>
      <c r="I29" s="30" t="inlineStr">
        <is>
          <t>EXE</t>
        </is>
      </c>
    </row>
    <row r="30" ht="36" customHeight="1">
      <c r="A30" s="30" t="inlineStr">
        <is>
          <t>Organisation</t>
        </is>
      </c>
      <c r="B30" s="30" t="inlineStr">
        <is>
          <t>ORG</t>
        </is>
      </c>
      <c r="C30" s="30">
        <f>COUNTIF($F$10:$F$23,B30)*2+COUNTIF($G$10:$G$23,B30)</f>
        <v/>
      </c>
      <c r="D30" s="30">
        <f>INDEX('Contrôles'!$E$5:$E$12,MATCH(B30,'Contrôles'!$B$5:$B$12,0))</f>
        <v/>
      </c>
      <c r="E30" s="129">
        <f>IFERROR(C30/D30*100,0)</f>
        <v/>
      </c>
      <c r="G30" s="30" t="inlineStr">
        <is>
          <t>Conquérant</t>
        </is>
      </c>
      <c r="H30" s="129">
        <f>$E$32*50%+$E$29*35%+$E$27*15%</f>
        <v/>
      </c>
      <c r="I30" s="30" t="inlineStr">
        <is>
          <t>AUD</t>
        </is>
      </c>
    </row>
    <row r="31" ht="36" customHeight="1">
      <c r="A31" s="30" t="inlineStr">
        <is>
          <t>Influence</t>
        </is>
      </c>
      <c r="B31" s="30" t="inlineStr">
        <is>
          <t>INF</t>
        </is>
      </c>
      <c r="C31" s="30">
        <f>COUNTIF($F$10:$F$23,B31)*2+COUNTIF($G$10:$G$23,B31)</f>
        <v/>
      </c>
      <c r="D31" s="30">
        <f>INDEX('Contrôles'!$E$5:$E$12,MATCH(B31,'Contrôles'!$B$5:$B$12,0))</f>
        <v/>
      </c>
      <c r="E31" s="129">
        <f>IFERROR(C31/D31*100,0)</f>
        <v/>
      </c>
      <c r="G31" s="30" t="inlineStr">
        <is>
          <t>Fédérateur</t>
        </is>
      </c>
      <c r="H31" s="129">
        <f>$E$31*50%+$E$33*30%+$E$27*20%</f>
        <v/>
      </c>
      <c r="I31" s="30" t="inlineStr">
        <is>
          <t>INF</t>
        </is>
      </c>
    </row>
    <row r="32" ht="36" customHeight="1">
      <c r="A32" s="30" t="inlineStr">
        <is>
          <t>Audace</t>
        </is>
      </c>
      <c r="B32" s="30" t="inlineStr">
        <is>
          <t>AUD</t>
        </is>
      </c>
      <c r="C32" s="30">
        <f>COUNTIF($F$10:$F$23,B32)*2+COUNTIF($G$10:$G$23,B32)</f>
        <v/>
      </c>
      <c r="D32" s="30">
        <f>INDEX('Contrôles'!$E$5:$E$12,MATCH(B32,'Contrôles'!$B$5:$B$12,0))</f>
        <v/>
      </c>
      <c r="E32" s="129">
        <f>IFERROR(C32/D32*100,0)</f>
        <v/>
      </c>
      <c r="G32" s="30" t="inlineStr">
        <is>
          <t>Résilient</t>
        </is>
      </c>
      <c r="H32" s="129">
        <f>$E$33*50%+$E$29*30%+$E$32*20%</f>
        <v/>
      </c>
      <c r="I32" s="30" t="inlineStr">
        <is>
          <t>ADA</t>
        </is>
      </c>
    </row>
    <row r="33" ht="36" customHeight="1">
      <c r="A33" s="30" t="inlineStr">
        <is>
          <t>Adaptabilité</t>
        </is>
      </c>
      <c r="B33" s="30" t="inlineStr">
        <is>
          <t>ADA</t>
        </is>
      </c>
      <c r="C33" s="30">
        <f>COUNTIF($F$10:$F$23,B33)*2+COUNTIF($G$10:$G$23,B33)</f>
        <v/>
      </c>
      <c r="D33" s="30">
        <f>INDEX('Contrôles'!$E$5:$E$12,MATCH(B33,'Contrôles'!$B$5:$B$12,0))</f>
        <v/>
      </c>
      <c r="E33" s="129">
        <f>IFERROR(C33/D33*100,0)</f>
        <v/>
      </c>
      <c r="G33" s="30" t="inlineStr">
        <is>
          <t>Gestionnaire</t>
        </is>
      </c>
      <c r="H33" s="129">
        <f>$E$30*45%+$E$28*30%+$E$29*25%</f>
        <v/>
      </c>
      <c r="I33" s="30" t="inlineStr">
        <is>
          <t>ORG</t>
        </is>
      </c>
    </row>
    <row r="34" ht="36" customHeight="1">
      <c r="A34" s="31" t="inlineStr">
        <is>
          <t>Transformation</t>
        </is>
      </c>
      <c r="B34" s="31" t="inlineStr">
        <is>
          <t>TRA</t>
        </is>
      </c>
      <c r="C34" s="31">
        <f>COUNTIF($F$10:$F$23,B34)*2+COUNTIF($G$10:$G$23,B34)</f>
        <v/>
      </c>
      <c r="D34" s="31">
        <f>INDEX('Contrôles'!$E$5:$E$12,MATCH(B34,'Contrôles'!$B$5:$B$12,0))</f>
        <v/>
      </c>
      <c r="E34" s="130">
        <f>IFERROR(C34/D34*100,0)</f>
        <v/>
      </c>
      <c r="G34" s="31" t="inlineStr">
        <is>
          <t>Réformateur</t>
        </is>
      </c>
      <c r="H34" s="130">
        <f>$E$34*50%+$E$32*30%+$E$27*20%</f>
        <v/>
      </c>
      <c r="I34" s="31" t="inlineStr">
        <is>
          <t>TRA</t>
        </is>
      </c>
    </row>
    <row r="35" ht="36" customHeight="1"/>
    <row r="36" ht="36" customHeight="1"/>
    <row r="37" ht="36" customHeight="1"/>
    <row r="38" ht="36" customHeight="1"/>
    <row r="39" ht="36" customHeight="1">
      <c r="A39" s="19" t="inlineStr">
        <is>
          <t>N°</t>
        </is>
      </c>
      <c r="B39" s="20" t="inlineStr">
        <is>
          <t>Question Rayonnement</t>
        </is>
      </c>
      <c r="C39" s="20" t="inlineStr">
        <is>
          <t>Choix</t>
        </is>
      </c>
      <c r="D39" s="20" t="inlineStr">
        <is>
          <t>Code</t>
        </is>
      </c>
      <c r="E39" s="20" t="inlineStr">
        <is>
          <t>Option sélectionnée</t>
        </is>
      </c>
      <c r="F39" s="20" t="inlineStr">
        <is>
          <t>Points</t>
        </is>
      </c>
      <c r="G39" s="20" t="inlineStr">
        <is>
          <t>Dimension</t>
        </is>
      </c>
      <c r="H39" s="20" t="inlineStr">
        <is>
          <t>Tag</t>
        </is>
      </c>
      <c r="I39" s="20" t="inlineStr">
        <is>
          <t>Valeur</t>
        </is>
      </c>
      <c r="J39" s="21" t="inlineStr">
        <is>
          <t>Règle</t>
        </is>
      </c>
    </row>
    <row r="40" ht="36" customHeight="1">
      <c r="A40" s="29" t="n">
        <v>1</v>
      </c>
      <c r="B40" s="29" t="inlineStr">
        <is>
          <t>En dehors de vos clients actuels, jusqu’où votre entreprise est-elle connue ?</t>
        </is>
      </c>
      <c r="C40" s="105" t="inlineStr">
        <is>
          <t>C</t>
        </is>
      </c>
      <c r="D40" s="29">
        <f>IF(C40="","","R"&amp;A40&amp;C40)</f>
        <v/>
      </c>
      <c r="E40" s="29">
        <f>IFERROR(INDEX('Rayonnement - Matrice'!$D$5:$D$32,MATCH(D40,'Rayonnement - Matrice'!$A$5:$A$32,0)),"")</f>
        <v/>
      </c>
      <c r="F40" s="29">
        <f>IFERROR(INDEX('Rayonnement - Matrice'!$F$5:$F$32,MATCH(D40,'Rayonnement - Matrice'!$A$5:$A$32,0)),"")</f>
        <v/>
      </c>
      <c r="G40" s="29">
        <f>IFERROR(INDEX('Rayonnement - Matrice'!$E$5:$E$32,MATCH(D40,'Rayonnement - Matrice'!$A$5:$A$32,0)),"")</f>
        <v/>
      </c>
      <c r="H40" s="29">
        <f>IFERROR(INDEX('Rayonnement - Matrice'!$H$5:$H$32,MATCH(D40,'Rayonnement - Matrice'!$A$5:$A$32,0)),"")</f>
        <v/>
      </c>
      <c r="I40" s="29">
        <f>IFERROR(INDEX('Rayonnement - Matrice'!$I$5:$I$32,MATCH(D40,'Rayonnement - Matrice'!$A$5:$A$32,0)),"")</f>
        <v/>
      </c>
      <c r="J40" s="29">
        <f>IFERROR(INDEX('Rayonnement - Matrice'!$J$5:$J$32,MATCH(D40,'Rayonnement - Matrice'!$A$5:$A$32,0)),"")</f>
        <v/>
      </c>
    </row>
    <row r="41" ht="36" customHeight="1">
      <c r="A41" s="30" t="n">
        <v>2</v>
      </c>
      <c r="B41" s="30" t="inlineStr">
        <is>
          <t>Lorsqu’un prospect choisit un concurrent, savez-vous généralement pourquoi ?</t>
        </is>
      </c>
      <c r="C41" s="106" t="inlineStr">
        <is>
          <t>C</t>
        </is>
      </c>
      <c r="D41" s="30">
        <f>IF(C41="","","R"&amp;A41&amp;C41)</f>
        <v/>
      </c>
      <c r="E41" s="30">
        <f>IFERROR(INDEX('Rayonnement - Matrice'!$D$5:$D$32,MATCH(D41,'Rayonnement - Matrice'!$A$5:$A$32,0)),"")</f>
        <v/>
      </c>
      <c r="F41" s="30">
        <f>IFERROR(INDEX('Rayonnement - Matrice'!$F$5:$F$32,MATCH(D41,'Rayonnement - Matrice'!$A$5:$A$32,0)),"")</f>
        <v/>
      </c>
      <c r="G41" s="30">
        <f>IFERROR(INDEX('Rayonnement - Matrice'!$E$5:$E$32,MATCH(D41,'Rayonnement - Matrice'!$A$5:$A$32,0)),"")</f>
        <v/>
      </c>
      <c r="H41" s="30">
        <f>IFERROR(INDEX('Rayonnement - Matrice'!$H$5:$H$32,MATCH(D41,'Rayonnement - Matrice'!$A$5:$A$32,0)),"")</f>
        <v/>
      </c>
      <c r="I41" s="30">
        <f>IFERROR(INDEX('Rayonnement - Matrice'!$I$5:$I$32,MATCH(D41,'Rayonnement - Matrice'!$A$5:$A$32,0)),"")</f>
        <v/>
      </c>
      <c r="J41" s="30">
        <f>IFERROR(INDEX('Rayonnement - Matrice'!$J$5:$J$32,MATCH(D41,'Rayonnement - Matrice'!$A$5:$A$32,0)),"")</f>
        <v/>
      </c>
    </row>
    <row r="42" ht="36" customHeight="1">
      <c r="A42" s="30" t="n">
        <v>3</v>
      </c>
      <c r="B42" s="30" t="inlineStr">
        <is>
          <t>Pour quelle raison vos clients vous choisissent-ils principalement ?</t>
        </is>
      </c>
      <c r="C42" s="106" t="inlineStr">
        <is>
          <t>C</t>
        </is>
      </c>
      <c r="D42" s="30">
        <f>IF(C42="","","R"&amp;A42&amp;C42)</f>
        <v/>
      </c>
      <c r="E42" s="30">
        <f>IFERROR(INDEX('Rayonnement - Matrice'!$D$5:$D$32,MATCH(D42,'Rayonnement - Matrice'!$A$5:$A$32,0)),"")</f>
        <v/>
      </c>
      <c r="F42" s="30">
        <f>IFERROR(INDEX('Rayonnement - Matrice'!$F$5:$F$32,MATCH(D42,'Rayonnement - Matrice'!$A$5:$A$32,0)),"")</f>
        <v/>
      </c>
      <c r="G42" s="30">
        <f>IFERROR(INDEX('Rayonnement - Matrice'!$E$5:$E$32,MATCH(D42,'Rayonnement - Matrice'!$A$5:$A$32,0)),"")</f>
        <v/>
      </c>
      <c r="H42" s="30">
        <f>IFERROR(INDEX('Rayonnement - Matrice'!$H$5:$H$32,MATCH(D42,'Rayonnement - Matrice'!$A$5:$A$32,0)),"")</f>
        <v/>
      </c>
      <c r="I42" s="30">
        <f>IFERROR(INDEX('Rayonnement - Matrice'!$I$5:$I$32,MATCH(D42,'Rayonnement - Matrice'!$A$5:$A$32,0)),"")</f>
        <v/>
      </c>
      <c r="J42" s="30">
        <f>IFERROR(INDEX('Rayonnement - Matrice'!$J$5:$J$32,MATCH(D42,'Rayonnement - Matrice'!$A$5:$A$32,0)),"")</f>
        <v/>
      </c>
    </row>
    <row r="43" ht="36" customHeight="1">
      <c r="A43" s="30" t="n">
        <v>4</v>
      </c>
      <c r="B43" s="30" t="inlineStr">
        <is>
          <t>Une personne qui découvre votre entreprise comprend-elle facilement ce qui vous distingue ?</t>
        </is>
      </c>
      <c r="C43" s="106" t="inlineStr">
        <is>
          <t>C</t>
        </is>
      </c>
      <c r="D43" s="30">
        <f>IF(C43="","","R"&amp;A43&amp;C43)</f>
        <v/>
      </c>
      <c r="E43" s="30">
        <f>IFERROR(INDEX('Rayonnement - Matrice'!$D$5:$D$32,MATCH(D43,'Rayonnement - Matrice'!$A$5:$A$32,0)),"")</f>
        <v/>
      </c>
      <c r="F43" s="30">
        <f>IFERROR(INDEX('Rayonnement - Matrice'!$F$5:$F$32,MATCH(D43,'Rayonnement - Matrice'!$A$5:$A$32,0)),"")</f>
        <v/>
      </c>
      <c r="G43" s="30">
        <f>IFERROR(INDEX('Rayonnement - Matrice'!$E$5:$E$32,MATCH(D43,'Rayonnement - Matrice'!$A$5:$A$32,0)),"")</f>
        <v/>
      </c>
      <c r="H43" s="30">
        <f>IFERROR(INDEX('Rayonnement - Matrice'!$H$5:$H$32,MATCH(D43,'Rayonnement - Matrice'!$A$5:$A$32,0)),"")</f>
        <v/>
      </c>
      <c r="I43" s="30">
        <f>IFERROR(INDEX('Rayonnement - Matrice'!$I$5:$I$32,MATCH(D43,'Rayonnement - Matrice'!$A$5:$A$32,0)),"")</f>
        <v/>
      </c>
      <c r="J43" s="30">
        <f>IFERROR(INDEX('Rayonnement - Matrice'!$J$5:$J$32,MATCH(D43,'Rayonnement - Matrice'!$A$5:$A$32,0)),"")</f>
        <v/>
      </c>
    </row>
    <row r="44" ht="36" customHeight="1">
      <c r="A44" s="30" t="n">
        <v>5</v>
      </c>
      <c r="B44" s="30" t="inlineStr">
        <is>
          <t>Comment votre entreprise est-elle actuellement présente sur les canaux numériques ?</t>
        </is>
      </c>
      <c r="C44" s="106" t="inlineStr">
        <is>
          <t>C</t>
        </is>
      </c>
      <c r="D44" s="30">
        <f>IF(C44="","","R"&amp;A44&amp;C44)</f>
        <v/>
      </c>
      <c r="E44" s="30">
        <f>IFERROR(INDEX('Rayonnement - Matrice'!$D$5:$D$32,MATCH(D44,'Rayonnement - Matrice'!$A$5:$A$32,0)),"")</f>
        <v/>
      </c>
      <c r="F44" s="30">
        <f>IFERROR(INDEX('Rayonnement - Matrice'!$F$5:$F$32,MATCH(D44,'Rayonnement - Matrice'!$A$5:$A$32,0)),"")</f>
        <v/>
      </c>
      <c r="G44" s="30">
        <f>IFERROR(INDEX('Rayonnement - Matrice'!$E$5:$E$32,MATCH(D44,'Rayonnement - Matrice'!$A$5:$A$32,0)),"")</f>
        <v/>
      </c>
      <c r="H44" s="30">
        <f>IFERROR(INDEX('Rayonnement - Matrice'!$H$5:$H$32,MATCH(D44,'Rayonnement - Matrice'!$A$5:$A$32,0)),"")</f>
        <v/>
      </c>
      <c r="I44" s="30">
        <f>IFERROR(INDEX('Rayonnement - Matrice'!$I$5:$I$32,MATCH(D44,'Rayonnement - Matrice'!$A$5:$A$32,0)),"")</f>
        <v/>
      </c>
      <c r="J44" s="30">
        <f>IFERROR(INDEX('Rayonnement - Matrice'!$J$5:$J$32,MATCH(D44,'Rayonnement - Matrice'!$A$5:$A$32,0)),"")</f>
        <v/>
      </c>
    </row>
    <row r="45" ht="36" customHeight="1">
      <c r="A45" s="30" t="n">
        <v>6</v>
      </c>
      <c r="B45" s="30" t="inlineStr">
        <is>
          <t>Que produit concrètement votre présence numérique pour votre entreprise ?</t>
        </is>
      </c>
      <c r="C45" s="106" t="inlineStr">
        <is>
          <t>C</t>
        </is>
      </c>
      <c r="D45" s="30">
        <f>IF(C45="","","R"&amp;A45&amp;C45)</f>
        <v/>
      </c>
      <c r="E45" s="30">
        <f>IFERROR(INDEX('Rayonnement - Matrice'!$D$5:$D$32,MATCH(D45,'Rayonnement - Matrice'!$A$5:$A$32,0)),"")</f>
        <v/>
      </c>
      <c r="F45" s="30">
        <f>IFERROR(INDEX('Rayonnement - Matrice'!$F$5:$F$32,MATCH(D45,'Rayonnement - Matrice'!$A$5:$A$32,0)),"")</f>
        <v/>
      </c>
      <c r="G45" s="30">
        <f>IFERROR(INDEX('Rayonnement - Matrice'!$E$5:$E$32,MATCH(D45,'Rayonnement - Matrice'!$A$5:$A$32,0)),"")</f>
        <v/>
      </c>
      <c r="H45" s="30">
        <f>IFERROR(INDEX('Rayonnement - Matrice'!$H$5:$H$32,MATCH(D45,'Rayonnement - Matrice'!$A$5:$A$32,0)),"")</f>
        <v/>
      </c>
      <c r="I45" s="30">
        <f>IFERROR(INDEX('Rayonnement - Matrice'!$I$5:$I$32,MATCH(D45,'Rayonnement - Matrice'!$A$5:$A$32,0)),"")</f>
        <v/>
      </c>
      <c r="J45" s="30">
        <f>IFERROR(INDEX('Rayonnement - Matrice'!$J$5:$J$32,MATCH(D45,'Rayonnement - Matrice'!$A$5:$A$32,0)),"")</f>
        <v/>
      </c>
    </row>
    <row r="46" ht="36" customHeight="1">
      <c r="A46" s="31" t="n">
        <v>7</v>
      </c>
      <c r="B46" s="31" t="inlineStr">
        <is>
          <t>Si votre entreprise arrêtait ses activités demain, qui le remarquerait rapidement ?</t>
        </is>
      </c>
      <c r="C46" s="107" t="inlineStr">
        <is>
          <t>C</t>
        </is>
      </c>
      <c r="D46" s="31">
        <f>IF(C46="","","R"&amp;A46&amp;C46)</f>
        <v/>
      </c>
      <c r="E46" s="31">
        <f>IFERROR(INDEX('Rayonnement - Matrice'!$D$5:$D$32,MATCH(D46,'Rayonnement - Matrice'!$A$5:$A$32,0)),"")</f>
        <v/>
      </c>
      <c r="F46" s="31">
        <f>IFERROR(INDEX('Rayonnement - Matrice'!$F$5:$F$32,MATCH(D46,'Rayonnement - Matrice'!$A$5:$A$32,0)),"")</f>
        <v/>
      </c>
      <c r="G46" s="31">
        <f>IFERROR(INDEX('Rayonnement - Matrice'!$E$5:$E$32,MATCH(D46,'Rayonnement - Matrice'!$A$5:$A$32,0)),"")</f>
        <v/>
      </c>
      <c r="H46" s="31">
        <f>IFERROR(INDEX('Rayonnement - Matrice'!$H$5:$H$32,MATCH(D46,'Rayonnement - Matrice'!$A$5:$A$32,0)),"")</f>
        <v/>
      </c>
      <c r="I46" s="31">
        <f>IFERROR(INDEX('Rayonnement - Matrice'!$I$5:$I$32,MATCH(D46,'Rayonnement - Matrice'!$A$5:$A$32,0)),"")</f>
        <v/>
      </c>
      <c r="J46" s="31">
        <f>IFERROR(INDEX('Rayonnement - Matrice'!$J$5:$J$32,MATCH(D46,'Rayonnement - Matrice'!$A$5:$A$32,0)),"")</f>
        <v/>
      </c>
    </row>
    <row r="47" ht="36" customHeight="1"/>
    <row r="48" ht="36" customHeight="1">
      <c r="A48" s="10" t="inlineStr">
        <is>
          <t>Calcul du Rayonnement</t>
        </is>
      </c>
    </row>
    <row r="49" ht="36" customHeight="1">
      <c r="A49" s="19" t="inlineStr">
        <is>
          <t>Dimension</t>
        </is>
      </c>
      <c r="B49" s="20" t="inlineStr">
        <is>
          <t>Score</t>
        </is>
      </c>
      <c r="C49" s="20" t="inlineStr">
        <is>
          <t>Poids global</t>
        </is>
      </c>
      <c r="D49" s="20" t="inlineStr">
        <is>
          <t>Contribution</t>
        </is>
      </c>
      <c r="E49" s="21" t="inlineStr">
        <is>
          <t>Source</t>
        </is>
      </c>
      <c r="G49" s="19" t="inlineStr">
        <is>
          <t>Aide technique</t>
        </is>
      </c>
      <c r="H49" s="21" t="inlineStr">
        <is>
          <t>Valeur</t>
        </is>
      </c>
    </row>
    <row r="50" ht="36" customHeight="1">
      <c r="A50" s="29" t="inlineStr">
        <is>
          <t>Notoriété</t>
        </is>
      </c>
      <c r="B50" s="128">
        <f>F40/3*100</f>
        <v/>
      </c>
      <c r="C50" s="131" t="n">
        <v>0.2</v>
      </c>
      <c r="D50" s="128">
        <f>B50*C50</f>
        <v/>
      </c>
      <c r="E50" s="29" t="inlineStr">
        <is>
          <t>R1</t>
        </is>
      </c>
      <c r="G50" s="29" t="inlineStr">
        <is>
          <t>Seuil suivant</t>
        </is>
      </c>
      <c r="H50" s="29">
        <f>IF($B$5&gt;=80,100,IF($B$5&gt;=60,80,IF($B$5&gt;=40,60,IF($B$5&gt;=20,40,20))))</f>
        <v/>
      </c>
    </row>
    <row r="51" ht="36" customHeight="1">
      <c r="A51" s="30" t="inlineStr">
        <is>
          <t>Lecture concurrentielle</t>
        </is>
      </c>
      <c r="B51" s="129">
        <f>F41/3*100</f>
        <v/>
      </c>
      <c r="C51" s="132" t="n">
        <v>0.15</v>
      </c>
      <c r="D51" s="129">
        <f>B51*C51</f>
        <v/>
      </c>
      <c r="E51" s="30" t="inlineStr">
        <is>
          <t>R2</t>
        </is>
      </c>
      <c r="G51" s="30" t="inlineStr">
        <is>
          <t>Dimensions au seuil</t>
        </is>
      </c>
      <c r="H51" s="30">
        <f>COUNTIF($B$50:$B$54,"&gt;="&amp;H50)</f>
        <v/>
      </c>
    </row>
    <row r="52" ht="36" customHeight="1">
      <c r="A52" s="30" t="inlineStr">
        <is>
          <t>Différenciation</t>
        </is>
      </c>
      <c r="B52" s="129">
        <f>F43/3*100</f>
        <v/>
      </c>
      <c r="C52" s="132" t="n">
        <v>0.25</v>
      </c>
      <c r="D52" s="129">
        <f>B52*C52</f>
        <v/>
      </c>
      <c r="E52" s="30" t="inlineStr">
        <is>
          <t>R4</t>
        </is>
      </c>
      <c r="G52" s="31" t="inlineStr">
        <is>
          <t>Dimension minimale</t>
        </is>
      </c>
      <c r="H52" s="31">
        <f>MIN($B$50:$B$54)</f>
        <v/>
      </c>
    </row>
    <row r="53" ht="36" customHeight="1">
      <c r="A53" s="30" t="inlineStr">
        <is>
          <t>Digital</t>
        </is>
      </c>
      <c r="B53" s="129">
        <f>F44/3*100*60%+F45/3*100*40%</f>
        <v/>
      </c>
      <c r="C53" s="132" t="n">
        <v>0.2</v>
      </c>
      <c r="D53" s="129">
        <f>B53*C53</f>
        <v/>
      </c>
      <c r="E53" s="30" t="inlineStr">
        <is>
          <t>R5 × 60 % + R6 × 40 %</t>
        </is>
      </c>
    </row>
    <row r="54" ht="36" customHeight="1">
      <c r="A54" s="31" t="inlineStr">
        <is>
          <t>Empreinte</t>
        </is>
      </c>
      <c r="B54" s="130">
        <f>F46/3*100</f>
        <v/>
      </c>
      <c r="C54" s="133" t="n">
        <v>0.2</v>
      </c>
      <c r="D54" s="130">
        <f>B54*C54</f>
        <v/>
      </c>
      <c r="E54" s="31" t="inlineStr">
        <is>
          <t>R7</t>
        </is>
      </c>
    </row>
  </sheetData>
  <mergeCells count="9">
    <mergeCell ref="A1:M1"/>
    <mergeCell ref="H5:M5"/>
    <mergeCell ref="I6:M6"/>
    <mergeCell ref="A25:E25"/>
    <mergeCell ref="B6:E6"/>
    <mergeCell ref="J3:M3"/>
    <mergeCell ref="A48:F48"/>
    <mergeCell ref="G25:J25"/>
    <mergeCell ref="A2:M2"/>
  </mergeCells>
  <dataValidations count="2">
    <dataValidation sqref="C10:C23" showDropDown="0" showInputMessage="0" showErrorMessage="0" allowBlank="0" type="list">
      <formula1>"A,B,C,D"</formula1>
    </dataValidation>
    <dataValidation sqref="C40:C46" showDropDown="0" showInputMessage="0" showErrorMessage="0" allowBlank="0" type="list">
      <formula1>"A,B,C,D"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5"/>
  <sheetViews>
    <sheetView showGridLines="0" workbookViewId="0">
      <selection activeCell="A1" sqref="A1"/>
    </sheetView>
  </sheetViews>
  <sheetFormatPr baseColWidth="8" defaultRowHeight="15"/>
  <cols>
    <col width="6.889999866485596" customWidth="1" min="1" max="1"/>
    <col width="24.21999931335449" customWidth="1" min="2" max="2"/>
    <col width="11.67000007629395" customWidth="1" min="3" max="3"/>
    <col width="31.67000007629395" customWidth="1" min="4" max="4"/>
    <col width="33.33000183105469" customWidth="1" min="5" max="5"/>
    <col width="31.67000007629395" customWidth="1" min="6" max="6"/>
    <col width="12.77999973297119" customWidth="1" min="13" max="13"/>
    <col width="12.77999973297119" customWidth="1" min="14" max="14"/>
    <col width="12.77999973297119" customWidth="1" min="15" max="15"/>
    <col width="12.77999973297119" customWidth="1" min="16" max="16"/>
    <col width="24.44000053405762" customWidth="1" min="17" max="17"/>
    <col width="24.44000053405762" customWidth="1" min="18" max="18"/>
    <col width="24.44000053405762" customWidth="1" min="19" max="19"/>
    <col width="24.44000053405762" customWidth="1" min="20" max="20"/>
    <col width="24.44000053405762" customWidth="1" min="21" max="21"/>
    <col width="24.44000053405762" customWidth="1" min="22" max="22"/>
    <col width="24.44000053405762" customWidth="1" min="23" max="23"/>
    <col width="12.77999973297119" customWidth="1" min="24" max="24"/>
    <col width="12.77999973297119" customWidth="1" min="25" max="25"/>
  </cols>
  <sheetData>
    <row r="1" ht="31.5" customHeight="1">
      <c r="A1" s="3" t="inlineStr">
        <is>
          <t>Fiche de diagnostic commercial du prospect</t>
        </is>
      </c>
    </row>
    <row r="2">
      <c r="A2" s="7" t="inlineStr">
        <is>
          <t>Lecture générée à partir des réponses déclarées. Elle prépare l’échange commercial : elle décrit des difficultés concrètes et des pistes à vérifier, sans recommander de produit.</t>
        </is>
      </c>
    </row>
    <row r="3"/>
    <row r="4">
      <c r="M4" s="19" t="inlineStr">
        <is>
          <t>Code</t>
        </is>
      </c>
      <c r="N4" s="20" t="inlineStr">
        <is>
          <t>Parcours</t>
        </is>
      </c>
      <c r="O4" s="20" t="inlineStr">
        <is>
          <t>Dimension</t>
        </is>
      </c>
      <c r="P4" s="20" t="inlineStr">
        <is>
          <t>Nature</t>
        </is>
      </c>
      <c r="Q4" s="20" t="inlineStr">
        <is>
          <t>Gravité</t>
        </is>
      </c>
      <c r="R4" s="20" t="inlineStr">
        <is>
          <t>Niveau</t>
        </is>
      </c>
      <c r="S4" s="20" t="inlineStr">
        <is>
          <t>Constat</t>
        </is>
      </c>
      <c r="T4" s="20" t="inlineStr">
        <is>
          <t>Difficulté</t>
        </is>
      </c>
      <c r="U4" s="20" t="inlineStr">
        <is>
          <t>Hypothèse</t>
        </is>
      </c>
      <c r="V4" s="20" t="inlineStr">
        <is>
          <t>Relance</t>
        </is>
      </c>
      <c r="W4" s="20" t="inlineStr">
        <is>
          <t>Réponse</t>
        </is>
      </c>
      <c r="X4" s="20" t="inlineStr">
        <is>
          <t>Rang difficulté</t>
        </is>
      </c>
      <c r="Y4" s="21" t="inlineStr">
        <is>
          <t>Rang force</t>
        </is>
      </c>
    </row>
    <row r="5" ht="31.5" customHeight="1">
      <c r="A5" s="59" t="inlineStr">
        <is>
          <t>Profil</t>
        </is>
      </c>
      <c r="B5" s="63">
        <f>'Simulateur'!B3</f>
        <v/>
      </c>
      <c r="C5" s="59" t="inlineStr">
        <is>
          <t>Pilotage</t>
        </is>
      </c>
      <c r="D5" s="124">
        <f>'Simulateur'!H3</f>
        <v/>
      </c>
      <c r="E5" s="59" t="inlineStr">
        <is>
          <t>Niveau de pilotage</t>
        </is>
      </c>
      <c r="F5" s="112">
        <f>'Simulateur'!J3</f>
        <v/>
      </c>
      <c r="M5" s="29">
        <f>'Simulateur'!D10</f>
        <v/>
      </c>
      <c r="N5" s="29">
        <f>IFERROR(INDEX('Bibliothèque constats'!$B$5:$B$88,MATCH($M5,'Bibliothèque constats'!$A$5:$A$88,0)),"")</f>
        <v/>
      </c>
      <c r="O5" s="29">
        <f>IFERROR(INDEX('Bibliothèque constats'!$F$5:$F$88,MATCH($M5,'Bibliothèque constats'!$A$5:$A$88,0)),"")</f>
        <v/>
      </c>
      <c r="P5" s="29">
        <f>IFERROR(INDEX('Bibliothèque constats'!$G$5:$G$88,MATCH($M5,'Bibliothèque constats'!$A$5:$A$88,0)),"")</f>
        <v/>
      </c>
      <c r="Q5" s="29">
        <f>IFERROR(INDEX('Bibliothèque constats'!$H$5:$H$88,MATCH($M5,'Bibliothèque constats'!$A$5:$A$88,0)),"")</f>
        <v/>
      </c>
      <c r="R5" s="29">
        <f>IFERROR(INDEX('Bibliothèque constats'!$I$5:$I$88,MATCH($M5,'Bibliothèque constats'!$A$5:$A$88,0)),"")</f>
        <v/>
      </c>
      <c r="S5" s="29">
        <f>IFERROR(INDEX('Bibliothèque constats'!$J$5:$J$88,MATCH($M5,'Bibliothèque constats'!$A$5:$A$88,0)),"")</f>
        <v/>
      </c>
      <c r="T5" s="29">
        <f>IFERROR(INDEX('Bibliothèque constats'!$K$5:$K$88,MATCH($M5,'Bibliothèque constats'!$A$5:$A$88,0)),"")</f>
        <v/>
      </c>
      <c r="U5" s="29">
        <f>IFERROR(INDEX('Bibliothèque constats'!$L$5:$L$88,MATCH($M5,'Bibliothèque constats'!$A$5:$A$88,0)),"")</f>
        <v/>
      </c>
      <c r="V5" s="29">
        <f>IFERROR(INDEX('Bibliothèque constats'!$M$5:$M$88,MATCH($M5,'Bibliothèque constats'!$A$5:$A$88,0)),"")</f>
        <v/>
      </c>
      <c r="W5" s="29">
        <f>IFERROR(INDEX('Bibliothèque constats'!$E$5:$E$88,MATCH($M5,'Bibliothèque constats'!$A$5:$A$88,0)),"")</f>
        <v/>
      </c>
      <c r="X5" s="29">
        <f>IF(AND(Q5&gt;0,T5&lt;&gt;""),Q5*1000-ROW(),0)</f>
        <v/>
      </c>
      <c r="Y5" s="29">
        <f>IF(P5="Force",1000-ROW(),0)</f>
        <v/>
      </c>
    </row>
    <row r="6" ht="31.5" customHeight="1">
      <c r="A6" s="59" t="inlineStr">
        <is>
          <t>Rayonnement</t>
        </is>
      </c>
      <c r="B6" s="124">
        <f>'Simulateur'!B5</f>
        <v/>
      </c>
      <c r="C6" s="59" t="inlineStr">
        <is>
          <t>Niveau de rayonnement</t>
        </is>
      </c>
      <c r="D6" s="63">
        <f>'Simulateur'!D5</f>
        <v/>
      </c>
      <c r="E6" s="59" t="inlineStr">
        <is>
          <t>Lecture croisée</t>
        </is>
      </c>
      <c r="F6" s="115">
        <f>'Simulateur'!B6</f>
        <v/>
      </c>
      <c r="M6" s="30">
        <f>'Simulateur'!D11</f>
        <v/>
      </c>
      <c r="N6" s="30">
        <f>IFERROR(INDEX('Bibliothèque constats'!$B$5:$B$88,MATCH($M6,'Bibliothèque constats'!$A$5:$A$88,0)),"")</f>
        <v/>
      </c>
      <c r="O6" s="30">
        <f>IFERROR(INDEX('Bibliothèque constats'!$F$5:$F$88,MATCH($M6,'Bibliothèque constats'!$A$5:$A$88,0)),"")</f>
        <v/>
      </c>
      <c r="P6" s="30">
        <f>IFERROR(INDEX('Bibliothèque constats'!$G$5:$G$88,MATCH($M6,'Bibliothèque constats'!$A$5:$A$88,0)),"")</f>
        <v/>
      </c>
      <c r="Q6" s="30">
        <f>IFERROR(INDEX('Bibliothèque constats'!$H$5:$H$88,MATCH($M6,'Bibliothèque constats'!$A$5:$A$88,0)),"")</f>
        <v/>
      </c>
      <c r="R6" s="30">
        <f>IFERROR(INDEX('Bibliothèque constats'!$I$5:$I$88,MATCH($M6,'Bibliothèque constats'!$A$5:$A$88,0)),"")</f>
        <v/>
      </c>
      <c r="S6" s="30">
        <f>IFERROR(INDEX('Bibliothèque constats'!$J$5:$J$88,MATCH($M6,'Bibliothèque constats'!$A$5:$A$88,0)),"")</f>
        <v/>
      </c>
      <c r="T6" s="30">
        <f>IFERROR(INDEX('Bibliothèque constats'!$K$5:$K$88,MATCH($M6,'Bibliothèque constats'!$A$5:$A$88,0)),"")</f>
        <v/>
      </c>
      <c r="U6" s="30">
        <f>IFERROR(INDEX('Bibliothèque constats'!$L$5:$L$88,MATCH($M6,'Bibliothèque constats'!$A$5:$A$88,0)),"")</f>
        <v/>
      </c>
      <c r="V6" s="30">
        <f>IFERROR(INDEX('Bibliothèque constats'!$M$5:$M$88,MATCH($M6,'Bibliothèque constats'!$A$5:$A$88,0)),"")</f>
        <v/>
      </c>
      <c r="W6" s="30">
        <f>IFERROR(INDEX('Bibliothèque constats'!$E$5:$E$88,MATCH($M6,'Bibliothèque constats'!$A$5:$A$88,0)),"")</f>
        <v/>
      </c>
      <c r="X6" s="30">
        <f>IF(AND(Q6&gt;0,T6&lt;&gt;""),Q6*1000-ROW(),0)</f>
        <v/>
      </c>
      <c r="Y6" s="30">
        <f>IF(P6="Force",1000-ROW(),0)</f>
        <v/>
      </c>
    </row>
    <row r="7">
      <c r="M7" s="30">
        <f>'Simulateur'!D12</f>
        <v/>
      </c>
      <c r="N7" s="30">
        <f>IFERROR(INDEX('Bibliothèque constats'!$B$5:$B$88,MATCH($M7,'Bibliothèque constats'!$A$5:$A$88,0)),"")</f>
        <v/>
      </c>
      <c r="O7" s="30">
        <f>IFERROR(INDEX('Bibliothèque constats'!$F$5:$F$88,MATCH($M7,'Bibliothèque constats'!$A$5:$A$88,0)),"")</f>
        <v/>
      </c>
      <c r="P7" s="30">
        <f>IFERROR(INDEX('Bibliothèque constats'!$G$5:$G$88,MATCH($M7,'Bibliothèque constats'!$A$5:$A$88,0)),"")</f>
        <v/>
      </c>
      <c r="Q7" s="30">
        <f>IFERROR(INDEX('Bibliothèque constats'!$H$5:$H$88,MATCH($M7,'Bibliothèque constats'!$A$5:$A$88,0)),"")</f>
        <v/>
      </c>
      <c r="R7" s="30">
        <f>IFERROR(INDEX('Bibliothèque constats'!$I$5:$I$88,MATCH($M7,'Bibliothèque constats'!$A$5:$A$88,0)),"")</f>
        <v/>
      </c>
      <c r="S7" s="30">
        <f>IFERROR(INDEX('Bibliothèque constats'!$J$5:$J$88,MATCH($M7,'Bibliothèque constats'!$A$5:$A$88,0)),"")</f>
        <v/>
      </c>
      <c r="T7" s="30">
        <f>IFERROR(INDEX('Bibliothèque constats'!$K$5:$K$88,MATCH($M7,'Bibliothèque constats'!$A$5:$A$88,0)),"")</f>
        <v/>
      </c>
      <c r="U7" s="30">
        <f>IFERROR(INDEX('Bibliothèque constats'!$L$5:$L$88,MATCH($M7,'Bibliothèque constats'!$A$5:$A$88,0)),"")</f>
        <v/>
      </c>
      <c r="V7" s="30">
        <f>IFERROR(INDEX('Bibliothèque constats'!$M$5:$M$88,MATCH($M7,'Bibliothèque constats'!$A$5:$A$88,0)),"")</f>
        <v/>
      </c>
      <c r="W7" s="30">
        <f>IFERROR(INDEX('Bibliothèque constats'!$E$5:$E$88,MATCH($M7,'Bibliothèque constats'!$A$5:$A$88,0)),"")</f>
        <v/>
      </c>
      <c r="X7" s="30">
        <f>IF(AND(Q7&gt;0,T7&lt;&gt;""),Q7*1000-ROW(),0)</f>
        <v/>
      </c>
      <c r="Y7" s="30">
        <f>IF(P7="Force",1000-ROW(),0)</f>
        <v/>
      </c>
    </row>
    <row r="8" ht="25.5" customHeight="1">
      <c r="A8" s="10" t="inlineStr">
        <is>
          <t>Difficultés prioritaires détectées</t>
        </is>
      </c>
      <c r="M8" s="30">
        <f>'Simulateur'!D13</f>
        <v/>
      </c>
      <c r="N8" s="30">
        <f>IFERROR(INDEX('Bibliothèque constats'!$B$5:$B$88,MATCH($M8,'Bibliothèque constats'!$A$5:$A$88,0)),"")</f>
        <v/>
      </c>
      <c r="O8" s="30">
        <f>IFERROR(INDEX('Bibliothèque constats'!$F$5:$F$88,MATCH($M8,'Bibliothèque constats'!$A$5:$A$88,0)),"")</f>
        <v/>
      </c>
      <c r="P8" s="30">
        <f>IFERROR(INDEX('Bibliothèque constats'!$G$5:$G$88,MATCH($M8,'Bibliothèque constats'!$A$5:$A$88,0)),"")</f>
        <v/>
      </c>
      <c r="Q8" s="30">
        <f>IFERROR(INDEX('Bibliothèque constats'!$H$5:$H$88,MATCH($M8,'Bibliothèque constats'!$A$5:$A$88,0)),"")</f>
        <v/>
      </c>
      <c r="R8" s="30">
        <f>IFERROR(INDEX('Bibliothèque constats'!$I$5:$I$88,MATCH($M8,'Bibliothèque constats'!$A$5:$A$88,0)),"")</f>
        <v/>
      </c>
      <c r="S8" s="30">
        <f>IFERROR(INDEX('Bibliothèque constats'!$J$5:$J$88,MATCH($M8,'Bibliothèque constats'!$A$5:$A$88,0)),"")</f>
        <v/>
      </c>
      <c r="T8" s="30">
        <f>IFERROR(INDEX('Bibliothèque constats'!$K$5:$K$88,MATCH($M8,'Bibliothèque constats'!$A$5:$A$88,0)),"")</f>
        <v/>
      </c>
      <c r="U8" s="30">
        <f>IFERROR(INDEX('Bibliothèque constats'!$L$5:$L$88,MATCH($M8,'Bibliothèque constats'!$A$5:$A$88,0)),"")</f>
        <v/>
      </c>
      <c r="V8" s="30">
        <f>IFERROR(INDEX('Bibliothèque constats'!$M$5:$M$88,MATCH($M8,'Bibliothèque constats'!$A$5:$A$88,0)),"")</f>
        <v/>
      </c>
      <c r="W8" s="30">
        <f>IFERROR(INDEX('Bibliothèque constats'!$E$5:$E$88,MATCH($M8,'Bibliothèque constats'!$A$5:$A$88,0)),"")</f>
        <v/>
      </c>
      <c r="X8" s="30">
        <f>IF(AND(Q8&gt;0,T8&lt;&gt;""),Q8*1000-ROW(),0)</f>
        <v/>
      </c>
      <c r="Y8" s="30">
        <f>IF(P8="Force",1000-ROW(),0)</f>
        <v/>
      </c>
    </row>
    <row r="9" ht="28.5" customHeight="1">
      <c r="A9" s="19" t="inlineStr">
        <is>
          <t>#</t>
        </is>
      </c>
      <c r="B9" s="20" t="inlineStr">
        <is>
          <t>Difficulté précise</t>
        </is>
      </c>
      <c r="C9" s="20" t="inlineStr">
        <is>
          <t>Gravité</t>
        </is>
      </c>
      <c r="D9" s="20" t="inlineStr">
        <is>
          <t>Constat factuel</t>
        </is>
      </c>
      <c r="E9" s="20" t="inlineStr">
        <is>
          <t>Réponse sélectionnée</t>
        </is>
      </c>
      <c r="F9" s="21" t="inlineStr">
        <is>
          <t>Question de relance</t>
        </is>
      </c>
      <c r="M9" s="30">
        <f>'Simulateur'!D14</f>
        <v/>
      </c>
      <c r="N9" s="30">
        <f>IFERROR(INDEX('Bibliothèque constats'!$B$5:$B$88,MATCH($M9,'Bibliothèque constats'!$A$5:$A$88,0)),"")</f>
        <v/>
      </c>
      <c r="O9" s="30">
        <f>IFERROR(INDEX('Bibliothèque constats'!$F$5:$F$88,MATCH($M9,'Bibliothèque constats'!$A$5:$A$88,0)),"")</f>
        <v/>
      </c>
      <c r="P9" s="30">
        <f>IFERROR(INDEX('Bibliothèque constats'!$G$5:$G$88,MATCH($M9,'Bibliothèque constats'!$A$5:$A$88,0)),"")</f>
        <v/>
      </c>
      <c r="Q9" s="30">
        <f>IFERROR(INDEX('Bibliothèque constats'!$H$5:$H$88,MATCH($M9,'Bibliothèque constats'!$A$5:$A$88,0)),"")</f>
        <v/>
      </c>
      <c r="R9" s="30">
        <f>IFERROR(INDEX('Bibliothèque constats'!$I$5:$I$88,MATCH($M9,'Bibliothèque constats'!$A$5:$A$88,0)),"")</f>
        <v/>
      </c>
      <c r="S9" s="30">
        <f>IFERROR(INDEX('Bibliothèque constats'!$J$5:$J$88,MATCH($M9,'Bibliothèque constats'!$A$5:$A$88,0)),"")</f>
        <v/>
      </c>
      <c r="T9" s="30">
        <f>IFERROR(INDEX('Bibliothèque constats'!$K$5:$K$88,MATCH($M9,'Bibliothèque constats'!$A$5:$A$88,0)),"")</f>
        <v/>
      </c>
      <c r="U9" s="30">
        <f>IFERROR(INDEX('Bibliothèque constats'!$L$5:$L$88,MATCH($M9,'Bibliothèque constats'!$A$5:$A$88,0)),"")</f>
        <v/>
      </c>
      <c r="V9" s="30">
        <f>IFERROR(INDEX('Bibliothèque constats'!$M$5:$M$88,MATCH($M9,'Bibliothèque constats'!$A$5:$A$88,0)),"")</f>
        <v/>
      </c>
      <c r="W9" s="30">
        <f>IFERROR(INDEX('Bibliothèque constats'!$E$5:$E$88,MATCH($M9,'Bibliothèque constats'!$A$5:$A$88,0)),"")</f>
        <v/>
      </c>
      <c r="X9" s="30">
        <f>IF(AND(Q9&gt;0,T9&lt;&gt;""),Q9*1000-ROW(),0)</f>
        <v/>
      </c>
      <c r="Y9" s="30">
        <f>IF(P9="Force",1000-ROW(),0)</f>
        <v/>
      </c>
    </row>
    <row r="10" ht="49.5" customHeight="1">
      <c r="A10" s="29">
        <f>IF(LARGE($X$5:$X$25,1)&lt;=0,"",1)</f>
        <v/>
      </c>
      <c r="B10" s="29">
        <f>IFERROR(IF(LARGE($X$5:$X$25,1)&lt;=0,"",INDEX($T$5:$T$25,MATCH(LARGE($X$5:$X$25,1),$X$5:$X$25,0))),"")</f>
        <v/>
      </c>
      <c r="C10" s="29">
        <f>IFERROR(IF(LARGE($X$5:$X$25,1)&lt;=0,"",INDEX($R$5:$R$25,MATCH(LARGE($X$5:$X$25,1),$X$5:$X$25,0))),"")</f>
        <v/>
      </c>
      <c r="D10" s="29">
        <f>IFERROR(IF(LARGE($X$5:$X$25,1)&lt;=0,"",INDEX($S$5:$S$25,MATCH(LARGE($X$5:$X$25,1),$X$5:$X$25,0))),"")</f>
        <v/>
      </c>
      <c r="E10" s="29">
        <f>IFERROR(IF(LARGE($X$5:$X$25,1)&lt;=0,"",INDEX($W$5:$W$25,MATCH(LARGE($X$5:$X$25,1),$X$5:$X$25,0))),"")</f>
        <v/>
      </c>
      <c r="F10" s="29">
        <f>IFERROR(IF(LARGE($X$5:$X$25,1)&lt;=0,"",INDEX($V$5:$V$25,MATCH(LARGE($X$5:$X$25,1),$X$5:$X$25,0))),"")</f>
        <v/>
      </c>
      <c r="M10" s="30">
        <f>'Simulateur'!D15</f>
        <v/>
      </c>
      <c r="N10" s="30">
        <f>IFERROR(INDEX('Bibliothèque constats'!$B$5:$B$88,MATCH($M10,'Bibliothèque constats'!$A$5:$A$88,0)),"")</f>
        <v/>
      </c>
      <c r="O10" s="30">
        <f>IFERROR(INDEX('Bibliothèque constats'!$F$5:$F$88,MATCH($M10,'Bibliothèque constats'!$A$5:$A$88,0)),"")</f>
        <v/>
      </c>
      <c r="P10" s="30">
        <f>IFERROR(INDEX('Bibliothèque constats'!$G$5:$G$88,MATCH($M10,'Bibliothèque constats'!$A$5:$A$88,0)),"")</f>
        <v/>
      </c>
      <c r="Q10" s="30">
        <f>IFERROR(INDEX('Bibliothèque constats'!$H$5:$H$88,MATCH($M10,'Bibliothèque constats'!$A$5:$A$88,0)),"")</f>
        <v/>
      </c>
      <c r="R10" s="30">
        <f>IFERROR(INDEX('Bibliothèque constats'!$I$5:$I$88,MATCH($M10,'Bibliothèque constats'!$A$5:$A$88,0)),"")</f>
        <v/>
      </c>
      <c r="S10" s="30">
        <f>IFERROR(INDEX('Bibliothèque constats'!$J$5:$J$88,MATCH($M10,'Bibliothèque constats'!$A$5:$A$88,0)),"")</f>
        <v/>
      </c>
      <c r="T10" s="30">
        <f>IFERROR(INDEX('Bibliothèque constats'!$K$5:$K$88,MATCH($M10,'Bibliothèque constats'!$A$5:$A$88,0)),"")</f>
        <v/>
      </c>
      <c r="U10" s="30">
        <f>IFERROR(INDEX('Bibliothèque constats'!$L$5:$L$88,MATCH($M10,'Bibliothèque constats'!$A$5:$A$88,0)),"")</f>
        <v/>
      </c>
      <c r="V10" s="30">
        <f>IFERROR(INDEX('Bibliothèque constats'!$M$5:$M$88,MATCH($M10,'Bibliothèque constats'!$A$5:$A$88,0)),"")</f>
        <v/>
      </c>
      <c r="W10" s="30">
        <f>IFERROR(INDEX('Bibliothèque constats'!$E$5:$E$88,MATCH($M10,'Bibliothèque constats'!$A$5:$A$88,0)),"")</f>
        <v/>
      </c>
      <c r="X10" s="30">
        <f>IF(AND(Q10&gt;0,T10&lt;&gt;""),Q10*1000-ROW(),0)</f>
        <v/>
      </c>
      <c r="Y10" s="30">
        <f>IF(P10="Force",1000-ROW(),0)</f>
        <v/>
      </c>
    </row>
    <row r="11" ht="49.5" customHeight="1">
      <c r="A11" s="30">
        <f>IF(LARGE($X$5:$X$25,2)&lt;=0,"",2)</f>
        <v/>
      </c>
      <c r="B11" s="30">
        <f>IFERROR(IF(LARGE($X$5:$X$25,2)&lt;=0,"",INDEX($T$5:$T$25,MATCH(LARGE($X$5:$X$25,2),$X$5:$X$25,0))),"")</f>
        <v/>
      </c>
      <c r="C11" s="30">
        <f>IFERROR(IF(LARGE($X$5:$X$25,2)&lt;=0,"",INDEX($R$5:$R$25,MATCH(LARGE($X$5:$X$25,2),$X$5:$X$25,0))),"")</f>
        <v/>
      </c>
      <c r="D11" s="30">
        <f>IFERROR(IF(LARGE($X$5:$X$25,2)&lt;=0,"",INDEX($S$5:$S$25,MATCH(LARGE($X$5:$X$25,2),$X$5:$X$25,0))),"")</f>
        <v/>
      </c>
      <c r="E11" s="30">
        <f>IFERROR(IF(LARGE($X$5:$X$25,2)&lt;=0,"",INDEX($W$5:$W$25,MATCH(LARGE($X$5:$X$25,2),$X$5:$X$25,0))),"")</f>
        <v/>
      </c>
      <c r="F11" s="30">
        <f>IFERROR(IF(LARGE($X$5:$X$25,2)&lt;=0,"",INDEX($V$5:$V$25,MATCH(LARGE($X$5:$X$25,2),$X$5:$X$25,0))),"")</f>
        <v/>
      </c>
      <c r="M11" s="30">
        <f>'Simulateur'!D16</f>
        <v/>
      </c>
      <c r="N11" s="30">
        <f>IFERROR(INDEX('Bibliothèque constats'!$B$5:$B$88,MATCH($M11,'Bibliothèque constats'!$A$5:$A$88,0)),"")</f>
        <v/>
      </c>
      <c r="O11" s="30">
        <f>IFERROR(INDEX('Bibliothèque constats'!$F$5:$F$88,MATCH($M11,'Bibliothèque constats'!$A$5:$A$88,0)),"")</f>
        <v/>
      </c>
      <c r="P11" s="30">
        <f>IFERROR(INDEX('Bibliothèque constats'!$G$5:$G$88,MATCH($M11,'Bibliothèque constats'!$A$5:$A$88,0)),"")</f>
        <v/>
      </c>
      <c r="Q11" s="30">
        <f>IFERROR(INDEX('Bibliothèque constats'!$H$5:$H$88,MATCH($M11,'Bibliothèque constats'!$A$5:$A$88,0)),"")</f>
        <v/>
      </c>
      <c r="R11" s="30">
        <f>IFERROR(INDEX('Bibliothèque constats'!$I$5:$I$88,MATCH($M11,'Bibliothèque constats'!$A$5:$A$88,0)),"")</f>
        <v/>
      </c>
      <c r="S11" s="30">
        <f>IFERROR(INDEX('Bibliothèque constats'!$J$5:$J$88,MATCH($M11,'Bibliothèque constats'!$A$5:$A$88,0)),"")</f>
        <v/>
      </c>
      <c r="T11" s="30">
        <f>IFERROR(INDEX('Bibliothèque constats'!$K$5:$K$88,MATCH($M11,'Bibliothèque constats'!$A$5:$A$88,0)),"")</f>
        <v/>
      </c>
      <c r="U11" s="30">
        <f>IFERROR(INDEX('Bibliothèque constats'!$L$5:$L$88,MATCH($M11,'Bibliothèque constats'!$A$5:$A$88,0)),"")</f>
        <v/>
      </c>
      <c r="V11" s="30">
        <f>IFERROR(INDEX('Bibliothèque constats'!$M$5:$M$88,MATCH($M11,'Bibliothèque constats'!$A$5:$A$88,0)),"")</f>
        <v/>
      </c>
      <c r="W11" s="30">
        <f>IFERROR(INDEX('Bibliothèque constats'!$E$5:$E$88,MATCH($M11,'Bibliothèque constats'!$A$5:$A$88,0)),"")</f>
        <v/>
      </c>
      <c r="X11" s="30">
        <f>IF(AND(Q11&gt;0,T11&lt;&gt;""),Q11*1000-ROW(),0)</f>
        <v/>
      </c>
      <c r="Y11" s="30">
        <f>IF(P11="Force",1000-ROW(),0)</f>
        <v/>
      </c>
    </row>
    <row r="12" ht="49.5" customHeight="1">
      <c r="A12" s="30">
        <f>IF(LARGE($X$5:$X$25,3)&lt;=0,"",3)</f>
        <v/>
      </c>
      <c r="B12" s="30">
        <f>IFERROR(IF(LARGE($X$5:$X$25,3)&lt;=0,"",INDEX($T$5:$T$25,MATCH(LARGE($X$5:$X$25,3),$X$5:$X$25,0))),"")</f>
        <v/>
      </c>
      <c r="C12" s="30">
        <f>IFERROR(IF(LARGE($X$5:$X$25,3)&lt;=0,"",INDEX($R$5:$R$25,MATCH(LARGE($X$5:$X$25,3),$X$5:$X$25,0))),"")</f>
        <v/>
      </c>
      <c r="D12" s="30">
        <f>IFERROR(IF(LARGE($X$5:$X$25,3)&lt;=0,"",INDEX($S$5:$S$25,MATCH(LARGE($X$5:$X$25,3),$X$5:$X$25,0))),"")</f>
        <v/>
      </c>
      <c r="E12" s="30">
        <f>IFERROR(IF(LARGE($X$5:$X$25,3)&lt;=0,"",INDEX($W$5:$W$25,MATCH(LARGE($X$5:$X$25,3),$X$5:$X$25,0))),"")</f>
        <v/>
      </c>
      <c r="F12" s="30">
        <f>IFERROR(IF(LARGE($X$5:$X$25,3)&lt;=0,"",INDEX($V$5:$V$25,MATCH(LARGE($X$5:$X$25,3),$X$5:$X$25,0))),"")</f>
        <v/>
      </c>
      <c r="M12" s="30">
        <f>'Simulateur'!D17</f>
        <v/>
      </c>
      <c r="N12" s="30">
        <f>IFERROR(INDEX('Bibliothèque constats'!$B$5:$B$88,MATCH($M12,'Bibliothèque constats'!$A$5:$A$88,0)),"")</f>
        <v/>
      </c>
      <c r="O12" s="30">
        <f>IFERROR(INDEX('Bibliothèque constats'!$F$5:$F$88,MATCH($M12,'Bibliothèque constats'!$A$5:$A$88,0)),"")</f>
        <v/>
      </c>
      <c r="P12" s="30">
        <f>IFERROR(INDEX('Bibliothèque constats'!$G$5:$G$88,MATCH($M12,'Bibliothèque constats'!$A$5:$A$88,0)),"")</f>
        <v/>
      </c>
      <c r="Q12" s="30">
        <f>IFERROR(INDEX('Bibliothèque constats'!$H$5:$H$88,MATCH($M12,'Bibliothèque constats'!$A$5:$A$88,0)),"")</f>
        <v/>
      </c>
      <c r="R12" s="30">
        <f>IFERROR(INDEX('Bibliothèque constats'!$I$5:$I$88,MATCH($M12,'Bibliothèque constats'!$A$5:$A$88,0)),"")</f>
        <v/>
      </c>
      <c r="S12" s="30">
        <f>IFERROR(INDEX('Bibliothèque constats'!$J$5:$J$88,MATCH($M12,'Bibliothèque constats'!$A$5:$A$88,0)),"")</f>
        <v/>
      </c>
      <c r="T12" s="30">
        <f>IFERROR(INDEX('Bibliothèque constats'!$K$5:$K$88,MATCH($M12,'Bibliothèque constats'!$A$5:$A$88,0)),"")</f>
        <v/>
      </c>
      <c r="U12" s="30">
        <f>IFERROR(INDEX('Bibliothèque constats'!$L$5:$L$88,MATCH($M12,'Bibliothèque constats'!$A$5:$A$88,0)),"")</f>
        <v/>
      </c>
      <c r="V12" s="30">
        <f>IFERROR(INDEX('Bibliothèque constats'!$M$5:$M$88,MATCH($M12,'Bibliothèque constats'!$A$5:$A$88,0)),"")</f>
        <v/>
      </c>
      <c r="W12" s="30">
        <f>IFERROR(INDEX('Bibliothèque constats'!$E$5:$E$88,MATCH($M12,'Bibliothèque constats'!$A$5:$A$88,0)),"")</f>
        <v/>
      </c>
      <c r="X12" s="30">
        <f>IF(AND(Q12&gt;0,T12&lt;&gt;""),Q12*1000-ROW(),0)</f>
        <v/>
      </c>
      <c r="Y12" s="30">
        <f>IF(P12="Force",1000-ROW(),0)</f>
        <v/>
      </c>
    </row>
    <row r="13" ht="49.5" customHeight="1">
      <c r="A13" s="30">
        <f>IF(LARGE($X$5:$X$25,4)&lt;=0,"",4)</f>
        <v/>
      </c>
      <c r="B13" s="30">
        <f>IFERROR(IF(LARGE($X$5:$X$25,4)&lt;=0,"",INDEX($T$5:$T$25,MATCH(LARGE($X$5:$X$25,4),$X$5:$X$25,0))),"")</f>
        <v/>
      </c>
      <c r="C13" s="30">
        <f>IFERROR(IF(LARGE($X$5:$X$25,4)&lt;=0,"",INDEX($R$5:$R$25,MATCH(LARGE($X$5:$X$25,4),$X$5:$X$25,0))),"")</f>
        <v/>
      </c>
      <c r="D13" s="30">
        <f>IFERROR(IF(LARGE($X$5:$X$25,4)&lt;=0,"",INDEX($S$5:$S$25,MATCH(LARGE($X$5:$X$25,4),$X$5:$X$25,0))),"")</f>
        <v/>
      </c>
      <c r="E13" s="30">
        <f>IFERROR(IF(LARGE($X$5:$X$25,4)&lt;=0,"",INDEX($W$5:$W$25,MATCH(LARGE($X$5:$X$25,4),$X$5:$X$25,0))),"")</f>
        <v/>
      </c>
      <c r="F13" s="30">
        <f>IFERROR(IF(LARGE($X$5:$X$25,4)&lt;=0,"",INDEX($V$5:$V$25,MATCH(LARGE($X$5:$X$25,4),$X$5:$X$25,0))),"")</f>
        <v/>
      </c>
      <c r="M13" s="30">
        <f>'Simulateur'!D18</f>
        <v/>
      </c>
      <c r="N13" s="30">
        <f>IFERROR(INDEX('Bibliothèque constats'!$B$5:$B$88,MATCH($M13,'Bibliothèque constats'!$A$5:$A$88,0)),"")</f>
        <v/>
      </c>
      <c r="O13" s="30">
        <f>IFERROR(INDEX('Bibliothèque constats'!$F$5:$F$88,MATCH($M13,'Bibliothèque constats'!$A$5:$A$88,0)),"")</f>
        <v/>
      </c>
      <c r="P13" s="30">
        <f>IFERROR(INDEX('Bibliothèque constats'!$G$5:$G$88,MATCH($M13,'Bibliothèque constats'!$A$5:$A$88,0)),"")</f>
        <v/>
      </c>
      <c r="Q13" s="30">
        <f>IFERROR(INDEX('Bibliothèque constats'!$H$5:$H$88,MATCH($M13,'Bibliothèque constats'!$A$5:$A$88,0)),"")</f>
        <v/>
      </c>
      <c r="R13" s="30">
        <f>IFERROR(INDEX('Bibliothèque constats'!$I$5:$I$88,MATCH($M13,'Bibliothèque constats'!$A$5:$A$88,0)),"")</f>
        <v/>
      </c>
      <c r="S13" s="30">
        <f>IFERROR(INDEX('Bibliothèque constats'!$J$5:$J$88,MATCH($M13,'Bibliothèque constats'!$A$5:$A$88,0)),"")</f>
        <v/>
      </c>
      <c r="T13" s="30">
        <f>IFERROR(INDEX('Bibliothèque constats'!$K$5:$K$88,MATCH($M13,'Bibliothèque constats'!$A$5:$A$88,0)),"")</f>
        <v/>
      </c>
      <c r="U13" s="30">
        <f>IFERROR(INDEX('Bibliothèque constats'!$L$5:$L$88,MATCH($M13,'Bibliothèque constats'!$A$5:$A$88,0)),"")</f>
        <v/>
      </c>
      <c r="V13" s="30">
        <f>IFERROR(INDEX('Bibliothèque constats'!$M$5:$M$88,MATCH($M13,'Bibliothèque constats'!$A$5:$A$88,0)),"")</f>
        <v/>
      </c>
      <c r="W13" s="30">
        <f>IFERROR(INDEX('Bibliothèque constats'!$E$5:$E$88,MATCH($M13,'Bibliothèque constats'!$A$5:$A$88,0)),"")</f>
        <v/>
      </c>
      <c r="X13" s="30">
        <f>IF(AND(Q13&gt;0,T13&lt;&gt;""),Q13*1000-ROW(),0)</f>
        <v/>
      </c>
      <c r="Y13" s="30">
        <f>IF(P13="Force",1000-ROW(),0)</f>
        <v/>
      </c>
    </row>
    <row r="14" ht="49.5" customHeight="1">
      <c r="A14" s="30">
        <f>IF(LARGE($X$5:$X$25,5)&lt;=0,"",5)</f>
        <v/>
      </c>
      <c r="B14" s="30">
        <f>IFERROR(IF(LARGE($X$5:$X$25,5)&lt;=0,"",INDEX($T$5:$T$25,MATCH(LARGE($X$5:$X$25,5),$X$5:$X$25,0))),"")</f>
        <v/>
      </c>
      <c r="C14" s="30">
        <f>IFERROR(IF(LARGE($X$5:$X$25,5)&lt;=0,"",INDEX($R$5:$R$25,MATCH(LARGE($X$5:$X$25,5),$X$5:$X$25,0))),"")</f>
        <v/>
      </c>
      <c r="D14" s="30">
        <f>IFERROR(IF(LARGE($X$5:$X$25,5)&lt;=0,"",INDEX($S$5:$S$25,MATCH(LARGE($X$5:$X$25,5),$X$5:$X$25,0))),"")</f>
        <v/>
      </c>
      <c r="E14" s="30">
        <f>IFERROR(IF(LARGE($X$5:$X$25,5)&lt;=0,"",INDEX($W$5:$W$25,MATCH(LARGE($X$5:$X$25,5),$X$5:$X$25,0))),"")</f>
        <v/>
      </c>
      <c r="F14" s="30">
        <f>IFERROR(IF(LARGE($X$5:$X$25,5)&lt;=0,"",INDEX($V$5:$V$25,MATCH(LARGE($X$5:$X$25,5),$X$5:$X$25,0))),"")</f>
        <v/>
      </c>
      <c r="M14" s="30">
        <f>'Simulateur'!D19</f>
        <v/>
      </c>
      <c r="N14" s="30">
        <f>IFERROR(INDEX('Bibliothèque constats'!$B$5:$B$88,MATCH($M14,'Bibliothèque constats'!$A$5:$A$88,0)),"")</f>
        <v/>
      </c>
      <c r="O14" s="30">
        <f>IFERROR(INDEX('Bibliothèque constats'!$F$5:$F$88,MATCH($M14,'Bibliothèque constats'!$A$5:$A$88,0)),"")</f>
        <v/>
      </c>
      <c r="P14" s="30">
        <f>IFERROR(INDEX('Bibliothèque constats'!$G$5:$G$88,MATCH($M14,'Bibliothèque constats'!$A$5:$A$88,0)),"")</f>
        <v/>
      </c>
      <c r="Q14" s="30">
        <f>IFERROR(INDEX('Bibliothèque constats'!$H$5:$H$88,MATCH($M14,'Bibliothèque constats'!$A$5:$A$88,0)),"")</f>
        <v/>
      </c>
      <c r="R14" s="30">
        <f>IFERROR(INDEX('Bibliothèque constats'!$I$5:$I$88,MATCH($M14,'Bibliothèque constats'!$A$5:$A$88,0)),"")</f>
        <v/>
      </c>
      <c r="S14" s="30">
        <f>IFERROR(INDEX('Bibliothèque constats'!$J$5:$J$88,MATCH($M14,'Bibliothèque constats'!$A$5:$A$88,0)),"")</f>
        <v/>
      </c>
      <c r="T14" s="30">
        <f>IFERROR(INDEX('Bibliothèque constats'!$K$5:$K$88,MATCH($M14,'Bibliothèque constats'!$A$5:$A$88,0)),"")</f>
        <v/>
      </c>
      <c r="U14" s="30">
        <f>IFERROR(INDEX('Bibliothèque constats'!$L$5:$L$88,MATCH($M14,'Bibliothèque constats'!$A$5:$A$88,0)),"")</f>
        <v/>
      </c>
      <c r="V14" s="30">
        <f>IFERROR(INDEX('Bibliothèque constats'!$M$5:$M$88,MATCH($M14,'Bibliothèque constats'!$A$5:$A$88,0)),"")</f>
        <v/>
      </c>
      <c r="W14" s="30">
        <f>IFERROR(INDEX('Bibliothèque constats'!$E$5:$E$88,MATCH($M14,'Bibliothèque constats'!$A$5:$A$88,0)),"")</f>
        <v/>
      </c>
      <c r="X14" s="30">
        <f>IF(AND(Q14&gt;0,T14&lt;&gt;""),Q14*1000-ROW(),0)</f>
        <v/>
      </c>
      <c r="Y14" s="30">
        <f>IF(P14="Force",1000-ROW(),0)</f>
        <v/>
      </c>
    </row>
    <row r="15" ht="49.5" customHeight="1">
      <c r="A15" s="31">
        <f>IF(LARGE($X$5:$X$25,6)&lt;=0,"",6)</f>
        <v/>
      </c>
      <c r="B15" s="31">
        <f>IFERROR(IF(LARGE($X$5:$X$25,6)&lt;=0,"",INDEX($T$5:$T$25,MATCH(LARGE($X$5:$X$25,6),$X$5:$X$25,0))),"")</f>
        <v/>
      </c>
      <c r="C15" s="31">
        <f>IFERROR(IF(LARGE($X$5:$X$25,6)&lt;=0,"",INDEX($R$5:$R$25,MATCH(LARGE($X$5:$X$25,6),$X$5:$X$25,0))),"")</f>
        <v/>
      </c>
      <c r="D15" s="31">
        <f>IFERROR(IF(LARGE($X$5:$X$25,6)&lt;=0,"",INDEX($S$5:$S$25,MATCH(LARGE($X$5:$X$25,6),$X$5:$X$25,0))),"")</f>
        <v/>
      </c>
      <c r="E15" s="31">
        <f>IFERROR(IF(LARGE($X$5:$X$25,6)&lt;=0,"",INDEX($W$5:$W$25,MATCH(LARGE($X$5:$X$25,6),$X$5:$X$25,0))),"")</f>
        <v/>
      </c>
      <c r="F15" s="31">
        <f>IFERROR(IF(LARGE($X$5:$X$25,6)&lt;=0,"",INDEX($V$5:$V$25,MATCH(LARGE($X$5:$X$25,6),$X$5:$X$25,0))),"")</f>
        <v/>
      </c>
      <c r="M15" s="30">
        <f>'Simulateur'!D20</f>
        <v/>
      </c>
      <c r="N15" s="30">
        <f>IFERROR(INDEX('Bibliothèque constats'!$B$5:$B$88,MATCH($M15,'Bibliothèque constats'!$A$5:$A$88,0)),"")</f>
        <v/>
      </c>
      <c r="O15" s="30">
        <f>IFERROR(INDEX('Bibliothèque constats'!$F$5:$F$88,MATCH($M15,'Bibliothèque constats'!$A$5:$A$88,0)),"")</f>
        <v/>
      </c>
      <c r="P15" s="30">
        <f>IFERROR(INDEX('Bibliothèque constats'!$G$5:$G$88,MATCH($M15,'Bibliothèque constats'!$A$5:$A$88,0)),"")</f>
        <v/>
      </c>
      <c r="Q15" s="30">
        <f>IFERROR(INDEX('Bibliothèque constats'!$H$5:$H$88,MATCH($M15,'Bibliothèque constats'!$A$5:$A$88,0)),"")</f>
        <v/>
      </c>
      <c r="R15" s="30">
        <f>IFERROR(INDEX('Bibliothèque constats'!$I$5:$I$88,MATCH($M15,'Bibliothèque constats'!$A$5:$A$88,0)),"")</f>
        <v/>
      </c>
      <c r="S15" s="30">
        <f>IFERROR(INDEX('Bibliothèque constats'!$J$5:$J$88,MATCH($M15,'Bibliothèque constats'!$A$5:$A$88,0)),"")</f>
        <v/>
      </c>
      <c r="T15" s="30">
        <f>IFERROR(INDEX('Bibliothèque constats'!$K$5:$K$88,MATCH($M15,'Bibliothèque constats'!$A$5:$A$88,0)),"")</f>
        <v/>
      </c>
      <c r="U15" s="30">
        <f>IFERROR(INDEX('Bibliothèque constats'!$L$5:$L$88,MATCH($M15,'Bibliothèque constats'!$A$5:$A$88,0)),"")</f>
        <v/>
      </c>
      <c r="V15" s="30">
        <f>IFERROR(INDEX('Bibliothèque constats'!$M$5:$M$88,MATCH($M15,'Bibliothèque constats'!$A$5:$A$88,0)),"")</f>
        <v/>
      </c>
      <c r="W15" s="30">
        <f>IFERROR(INDEX('Bibliothèque constats'!$E$5:$E$88,MATCH($M15,'Bibliothèque constats'!$A$5:$A$88,0)),"")</f>
        <v/>
      </c>
      <c r="X15" s="30">
        <f>IF(AND(Q15&gt;0,T15&lt;&gt;""),Q15*1000-ROW(),0)</f>
        <v/>
      </c>
      <c r="Y15" s="30">
        <f>IF(P15="Force",1000-ROW(),0)</f>
        <v/>
      </c>
    </row>
    <row r="16">
      <c r="M16" s="30">
        <f>'Simulateur'!D21</f>
        <v/>
      </c>
      <c r="N16" s="30">
        <f>IFERROR(INDEX('Bibliothèque constats'!$B$5:$B$88,MATCH($M16,'Bibliothèque constats'!$A$5:$A$88,0)),"")</f>
        <v/>
      </c>
      <c r="O16" s="30">
        <f>IFERROR(INDEX('Bibliothèque constats'!$F$5:$F$88,MATCH($M16,'Bibliothèque constats'!$A$5:$A$88,0)),"")</f>
        <v/>
      </c>
      <c r="P16" s="30">
        <f>IFERROR(INDEX('Bibliothèque constats'!$G$5:$G$88,MATCH($M16,'Bibliothèque constats'!$A$5:$A$88,0)),"")</f>
        <v/>
      </c>
      <c r="Q16" s="30">
        <f>IFERROR(INDEX('Bibliothèque constats'!$H$5:$H$88,MATCH($M16,'Bibliothèque constats'!$A$5:$A$88,0)),"")</f>
        <v/>
      </c>
      <c r="R16" s="30">
        <f>IFERROR(INDEX('Bibliothèque constats'!$I$5:$I$88,MATCH($M16,'Bibliothèque constats'!$A$5:$A$88,0)),"")</f>
        <v/>
      </c>
      <c r="S16" s="30">
        <f>IFERROR(INDEX('Bibliothèque constats'!$J$5:$J$88,MATCH($M16,'Bibliothèque constats'!$A$5:$A$88,0)),"")</f>
        <v/>
      </c>
      <c r="T16" s="30">
        <f>IFERROR(INDEX('Bibliothèque constats'!$K$5:$K$88,MATCH($M16,'Bibliothèque constats'!$A$5:$A$88,0)),"")</f>
        <v/>
      </c>
      <c r="U16" s="30">
        <f>IFERROR(INDEX('Bibliothèque constats'!$L$5:$L$88,MATCH($M16,'Bibliothèque constats'!$A$5:$A$88,0)),"")</f>
        <v/>
      </c>
      <c r="V16" s="30">
        <f>IFERROR(INDEX('Bibliothèque constats'!$M$5:$M$88,MATCH($M16,'Bibliothèque constats'!$A$5:$A$88,0)),"")</f>
        <v/>
      </c>
      <c r="W16" s="30">
        <f>IFERROR(INDEX('Bibliothèque constats'!$E$5:$E$88,MATCH($M16,'Bibliothèque constats'!$A$5:$A$88,0)),"")</f>
        <v/>
      </c>
      <c r="X16" s="30">
        <f>IF(AND(Q16&gt;0,T16&lt;&gt;""),Q16*1000-ROW(),0)</f>
        <v/>
      </c>
      <c r="Y16" s="30">
        <f>IF(P16="Force",1000-ROW(),0)</f>
        <v/>
      </c>
    </row>
    <row r="17" ht="25.5" customHeight="1">
      <c r="A17" s="10" t="inlineStr">
        <is>
          <t>Forces et pratiques déjà en place</t>
        </is>
      </c>
      <c r="M17" s="30">
        <f>'Simulateur'!D22</f>
        <v/>
      </c>
      <c r="N17" s="30">
        <f>IFERROR(INDEX('Bibliothèque constats'!$B$5:$B$88,MATCH($M17,'Bibliothèque constats'!$A$5:$A$88,0)),"")</f>
        <v/>
      </c>
      <c r="O17" s="30">
        <f>IFERROR(INDEX('Bibliothèque constats'!$F$5:$F$88,MATCH($M17,'Bibliothèque constats'!$A$5:$A$88,0)),"")</f>
        <v/>
      </c>
      <c r="P17" s="30">
        <f>IFERROR(INDEX('Bibliothèque constats'!$G$5:$G$88,MATCH($M17,'Bibliothèque constats'!$A$5:$A$88,0)),"")</f>
        <v/>
      </c>
      <c r="Q17" s="30">
        <f>IFERROR(INDEX('Bibliothèque constats'!$H$5:$H$88,MATCH($M17,'Bibliothèque constats'!$A$5:$A$88,0)),"")</f>
        <v/>
      </c>
      <c r="R17" s="30">
        <f>IFERROR(INDEX('Bibliothèque constats'!$I$5:$I$88,MATCH($M17,'Bibliothèque constats'!$A$5:$A$88,0)),"")</f>
        <v/>
      </c>
      <c r="S17" s="30">
        <f>IFERROR(INDEX('Bibliothèque constats'!$J$5:$J$88,MATCH($M17,'Bibliothèque constats'!$A$5:$A$88,0)),"")</f>
        <v/>
      </c>
      <c r="T17" s="30">
        <f>IFERROR(INDEX('Bibliothèque constats'!$K$5:$K$88,MATCH($M17,'Bibliothèque constats'!$A$5:$A$88,0)),"")</f>
        <v/>
      </c>
      <c r="U17" s="30">
        <f>IFERROR(INDEX('Bibliothèque constats'!$L$5:$L$88,MATCH($M17,'Bibliothèque constats'!$A$5:$A$88,0)),"")</f>
        <v/>
      </c>
      <c r="V17" s="30">
        <f>IFERROR(INDEX('Bibliothèque constats'!$M$5:$M$88,MATCH($M17,'Bibliothèque constats'!$A$5:$A$88,0)),"")</f>
        <v/>
      </c>
      <c r="W17" s="30">
        <f>IFERROR(INDEX('Bibliothèque constats'!$E$5:$E$88,MATCH($M17,'Bibliothèque constats'!$A$5:$A$88,0)),"")</f>
        <v/>
      </c>
      <c r="X17" s="30">
        <f>IF(AND(Q17&gt;0,T17&lt;&gt;""),Q17*1000-ROW(),0)</f>
        <v/>
      </c>
      <c r="Y17" s="30">
        <f>IF(P17="Force",1000-ROW(),0)</f>
        <v/>
      </c>
    </row>
    <row r="18" ht="28.5" customHeight="1">
      <c r="A18" s="19" t="inlineStr">
        <is>
          <t>#</t>
        </is>
      </c>
      <c r="B18" s="20" t="inlineStr">
        <is>
          <t>Force / pratique observée</t>
        </is>
      </c>
      <c r="C18" s="20" t="inlineStr">
        <is>
          <t>Dimension</t>
        </is>
      </c>
      <c r="D18" s="20" t="inlineStr">
        <is>
          <t>Réponse sélectionnée</t>
        </is>
      </c>
      <c r="E18" s="21" t="inlineStr">
        <is>
          <t>Question pour capitaliser</t>
        </is>
      </c>
      <c r="M18" s="30">
        <f>'Simulateur'!D23</f>
        <v/>
      </c>
      <c r="N18" s="30">
        <f>IFERROR(INDEX('Bibliothèque constats'!$B$5:$B$88,MATCH($M18,'Bibliothèque constats'!$A$5:$A$88,0)),"")</f>
        <v/>
      </c>
      <c r="O18" s="30">
        <f>IFERROR(INDEX('Bibliothèque constats'!$F$5:$F$88,MATCH($M18,'Bibliothèque constats'!$A$5:$A$88,0)),"")</f>
        <v/>
      </c>
      <c r="P18" s="30">
        <f>IFERROR(INDEX('Bibliothèque constats'!$G$5:$G$88,MATCH($M18,'Bibliothèque constats'!$A$5:$A$88,0)),"")</f>
        <v/>
      </c>
      <c r="Q18" s="30">
        <f>IFERROR(INDEX('Bibliothèque constats'!$H$5:$H$88,MATCH($M18,'Bibliothèque constats'!$A$5:$A$88,0)),"")</f>
        <v/>
      </c>
      <c r="R18" s="30">
        <f>IFERROR(INDEX('Bibliothèque constats'!$I$5:$I$88,MATCH($M18,'Bibliothèque constats'!$A$5:$A$88,0)),"")</f>
        <v/>
      </c>
      <c r="S18" s="30">
        <f>IFERROR(INDEX('Bibliothèque constats'!$J$5:$J$88,MATCH($M18,'Bibliothèque constats'!$A$5:$A$88,0)),"")</f>
        <v/>
      </c>
      <c r="T18" s="30">
        <f>IFERROR(INDEX('Bibliothèque constats'!$K$5:$K$88,MATCH($M18,'Bibliothèque constats'!$A$5:$A$88,0)),"")</f>
        <v/>
      </c>
      <c r="U18" s="30">
        <f>IFERROR(INDEX('Bibliothèque constats'!$L$5:$L$88,MATCH($M18,'Bibliothèque constats'!$A$5:$A$88,0)),"")</f>
        <v/>
      </c>
      <c r="V18" s="30">
        <f>IFERROR(INDEX('Bibliothèque constats'!$M$5:$M$88,MATCH($M18,'Bibliothèque constats'!$A$5:$A$88,0)),"")</f>
        <v/>
      </c>
      <c r="W18" s="30">
        <f>IFERROR(INDEX('Bibliothèque constats'!$E$5:$E$88,MATCH($M18,'Bibliothèque constats'!$A$5:$A$88,0)),"")</f>
        <v/>
      </c>
      <c r="X18" s="30">
        <f>IF(AND(Q18&gt;0,T18&lt;&gt;""),Q18*1000-ROW(),0)</f>
        <v/>
      </c>
      <c r="Y18" s="30">
        <f>IF(P18="Force",1000-ROW(),0)</f>
        <v/>
      </c>
    </row>
    <row r="19" ht="46.5" customHeight="1">
      <c r="A19" s="29">
        <f>IF(LARGE($Y$5:$Y$25,1)&lt;=0,"",1)</f>
        <v/>
      </c>
      <c r="B19" s="29">
        <f>IFERROR(IF(LARGE($Y$5:$Y$25,1)&lt;=0,"",INDEX($S$5:$S$25,MATCH(LARGE($Y$5:$Y$25,1),$Y$5:$Y$25,0))),"")</f>
        <v/>
      </c>
      <c r="C19" s="29">
        <f>IFERROR(IF(LARGE($Y$5:$Y$25,1)&lt;=0,"",INDEX($O$5:$O$25,MATCH(LARGE($Y$5:$Y$25,1),$Y$5:$Y$25,0))),"")</f>
        <v/>
      </c>
      <c r="D19" s="29">
        <f>IFERROR(IF(LARGE($Y$5:$Y$25,1)&lt;=0,"",INDEX($W$5:$W$25,MATCH(LARGE($Y$5:$Y$25,1),$Y$5:$Y$25,0))),"")</f>
        <v/>
      </c>
      <c r="E19" s="29">
        <f>IFERROR(IF(LARGE($Y$5:$Y$25,1)&lt;=0,"",INDEX($V$5:$V$25,MATCH(LARGE($Y$5:$Y$25,1),$Y$5:$Y$25,0))),"")</f>
        <v/>
      </c>
      <c r="M19" s="30">
        <f>'Simulateur'!D40</f>
        <v/>
      </c>
      <c r="N19" s="30">
        <f>IFERROR(INDEX('Bibliothèque constats'!$B$5:$B$88,MATCH($M19,'Bibliothèque constats'!$A$5:$A$88,0)),"")</f>
        <v/>
      </c>
      <c r="O19" s="30">
        <f>IFERROR(INDEX('Bibliothèque constats'!$F$5:$F$88,MATCH($M19,'Bibliothèque constats'!$A$5:$A$88,0)),"")</f>
        <v/>
      </c>
      <c r="P19" s="30">
        <f>IFERROR(INDEX('Bibliothèque constats'!$G$5:$G$88,MATCH($M19,'Bibliothèque constats'!$A$5:$A$88,0)),"")</f>
        <v/>
      </c>
      <c r="Q19" s="30">
        <f>IFERROR(INDEX('Bibliothèque constats'!$H$5:$H$88,MATCH($M19,'Bibliothèque constats'!$A$5:$A$88,0)),"")</f>
        <v/>
      </c>
      <c r="R19" s="30">
        <f>IFERROR(INDEX('Bibliothèque constats'!$I$5:$I$88,MATCH($M19,'Bibliothèque constats'!$A$5:$A$88,0)),"")</f>
        <v/>
      </c>
      <c r="S19" s="30">
        <f>IFERROR(INDEX('Bibliothèque constats'!$J$5:$J$88,MATCH($M19,'Bibliothèque constats'!$A$5:$A$88,0)),"")</f>
        <v/>
      </c>
      <c r="T19" s="30">
        <f>IFERROR(INDEX('Bibliothèque constats'!$K$5:$K$88,MATCH($M19,'Bibliothèque constats'!$A$5:$A$88,0)),"")</f>
        <v/>
      </c>
      <c r="U19" s="30">
        <f>IFERROR(INDEX('Bibliothèque constats'!$L$5:$L$88,MATCH($M19,'Bibliothèque constats'!$A$5:$A$88,0)),"")</f>
        <v/>
      </c>
      <c r="V19" s="30">
        <f>IFERROR(INDEX('Bibliothèque constats'!$M$5:$M$88,MATCH($M19,'Bibliothèque constats'!$A$5:$A$88,0)),"")</f>
        <v/>
      </c>
      <c r="W19" s="30">
        <f>IFERROR(INDEX('Bibliothèque constats'!$E$5:$E$88,MATCH($M19,'Bibliothèque constats'!$A$5:$A$88,0)),"")</f>
        <v/>
      </c>
      <c r="X19" s="30">
        <f>IF(AND(Q19&gt;0,T19&lt;&gt;""),Q19*1000-ROW(),0)</f>
        <v/>
      </c>
      <c r="Y19" s="30">
        <f>IF(P19="Force",1000-ROW(),0)</f>
        <v/>
      </c>
    </row>
    <row r="20" ht="46.5" customHeight="1">
      <c r="A20" s="30">
        <f>IF(LARGE($Y$5:$Y$25,2)&lt;=0,"",2)</f>
        <v/>
      </c>
      <c r="B20" s="30">
        <f>IFERROR(IF(LARGE($Y$5:$Y$25,2)&lt;=0,"",INDEX($S$5:$S$25,MATCH(LARGE($Y$5:$Y$25,2),$Y$5:$Y$25,0))),"")</f>
        <v/>
      </c>
      <c r="C20" s="30">
        <f>IFERROR(IF(LARGE($Y$5:$Y$25,2)&lt;=0,"",INDEX($O$5:$O$25,MATCH(LARGE($Y$5:$Y$25,2),$Y$5:$Y$25,0))),"")</f>
        <v/>
      </c>
      <c r="D20" s="30">
        <f>IFERROR(IF(LARGE($Y$5:$Y$25,2)&lt;=0,"",INDEX($W$5:$W$25,MATCH(LARGE($Y$5:$Y$25,2),$Y$5:$Y$25,0))),"")</f>
        <v/>
      </c>
      <c r="E20" s="30">
        <f>IFERROR(IF(LARGE($Y$5:$Y$25,2)&lt;=0,"",INDEX($V$5:$V$25,MATCH(LARGE($Y$5:$Y$25,2),$Y$5:$Y$25,0))),"")</f>
        <v/>
      </c>
      <c r="M20" s="30">
        <f>'Simulateur'!D41</f>
        <v/>
      </c>
      <c r="N20" s="30">
        <f>IFERROR(INDEX('Bibliothèque constats'!$B$5:$B$88,MATCH($M20,'Bibliothèque constats'!$A$5:$A$88,0)),"")</f>
        <v/>
      </c>
      <c r="O20" s="30">
        <f>IFERROR(INDEX('Bibliothèque constats'!$F$5:$F$88,MATCH($M20,'Bibliothèque constats'!$A$5:$A$88,0)),"")</f>
        <v/>
      </c>
      <c r="P20" s="30">
        <f>IFERROR(INDEX('Bibliothèque constats'!$G$5:$G$88,MATCH($M20,'Bibliothèque constats'!$A$5:$A$88,0)),"")</f>
        <v/>
      </c>
      <c r="Q20" s="30">
        <f>IFERROR(INDEX('Bibliothèque constats'!$H$5:$H$88,MATCH($M20,'Bibliothèque constats'!$A$5:$A$88,0)),"")</f>
        <v/>
      </c>
      <c r="R20" s="30">
        <f>IFERROR(INDEX('Bibliothèque constats'!$I$5:$I$88,MATCH($M20,'Bibliothèque constats'!$A$5:$A$88,0)),"")</f>
        <v/>
      </c>
      <c r="S20" s="30">
        <f>IFERROR(INDEX('Bibliothèque constats'!$J$5:$J$88,MATCH($M20,'Bibliothèque constats'!$A$5:$A$88,0)),"")</f>
        <v/>
      </c>
      <c r="T20" s="30">
        <f>IFERROR(INDEX('Bibliothèque constats'!$K$5:$K$88,MATCH($M20,'Bibliothèque constats'!$A$5:$A$88,0)),"")</f>
        <v/>
      </c>
      <c r="U20" s="30">
        <f>IFERROR(INDEX('Bibliothèque constats'!$L$5:$L$88,MATCH($M20,'Bibliothèque constats'!$A$5:$A$88,0)),"")</f>
        <v/>
      </c>
      <c r="V20" s="30">
        <f>IFERROR(INDEX('Bibliothèque constats'!$M$5:$M$88,MATCH($M20,'Bibliothèque constats'!$A$5:$A$88,0)),"")</f>
        <v/>
      </c>
      <c r="W20" s="30">
        <f>IFERROR(INDEX('Bibliothèque constats'!$E$5:$E$88,MATCH($M20,'Bibliothèque constats'!$A$5:$A$88,0)),"")</f>
        <v/>
      </c>
      <c r="X20" s="30">
        <f>IF(AND(Q20&gt;0,T20&lt;&gt;""),Q20*1000-ROW(),0)</f>
        <v/>
      </c>
      <c r="Y20" s="30">
        <f>IF(P20="Force",1000-ROW(),0)</f>
        <v/>
      </c>
    </row>
    <row r="21" ht="46.5" customHeight="1">
      <c r="A21" s="30">
        <f>IF(LARGE($Y$5:$Y$25,3)&lt;=0,"",3)</f>
        <v/>
      </c>
      <c r="B21" s="30">
        <f>IFERROR(IF(LARGE($Y$5:$Y$25,3)&lt;=0,"",INDEX($S$5:$S$25,MATCH(LARGE($Y$5:$Y$25,3),$Y$5:$Y$25,0))),"")</f>
        <v/>
      </c>
      <c r="C21" s="30">
        <f>IFERROR(IF(LARGE($Y$5:$Y$25,3)&lt;=0,"",INDEX($O$5:$O$25,MATCH(LARGE($Y$5:$Y$25,3),$Y$5:$Y$25,0))),"")</f>
        <v/>
      </c>
      <c r="D21" s="30">
        <f>IFERROR(IF(LARGE($Y$5:$Y$25,3)&lt;=0,"",INDEX($W$5:$W$25,MATCH(LARGE($Y$5:$Y$25,3),$Y$5:$Y$25,0))),"")</f>
        <v/>
      </c>
      <c r="E21" s="30">
        <f>IFERROR(IF(LARGE($Y$5:$Y$25,3)&lt;=0,"",INDEX($V$5:$V$25,MATCH(LARGE($Y$5:$Y$25,3),$Y$5:$Y$25,0))),"")</f>
        <v/>
      </c>
      <c r="M21" s="30">
        <f>'Simulateur'!D42</f>
        <v/>
      </c>
      <c r="N21" s="30">
        <f>IFERROR(INDEX('Bibliothèque constats'!$B$5:$B$88,MATCH($M21,'Bibliothèque constats'!$A$5:$A$88,0)),"")</f>
        <v/>
      </c>
      <c r="O21" s="30">
        <f>IFERROR(INDEX('Bibliothèque constats'!$F$5:$F$88,MATCH($M21,'Bibliothèque constats'!$A$5:$A$88,0)),"")</f>
        <v/>
      </c>
      <c r="P21" s="30">
        <f>IFERROR(INDEX('Bibliothèque constats'!$G$5:$G$88,MATCH($M21,'Bibliothèque constats'!$A$5:$A$88,0)),"")</f>
        <v/>
      </c>
      <c r="Q21" s="30">
        <f>IFERROR(INDEX('Bibliothèque constats'!$H$5:$H$88,MATCH($M21,'Bibliothèque constats'!$A$5:$A$88,0)),"")</f>
        <v/>
      </c>
      <c r="R21" s="30">
        <f>IFERROR(INDEX('Bibliothèque constats'!$I$5:$I$88,MATCH($M21,'Bibliothèque constats'!$A$5:$A$88,0)),"")</f>
        <v/>
      </c>
      <c r="S21" s="30">
        <f>IFERROR(INDEX('Bibliothèque constats'!$J$5:$J$88,MATCH($M21,'Bibliothèque constats'!$A$5:$A$88,0)),"")</f>
        <v/>
      </c>
      <c r="T21" s="30">
        <f>IFERROR(INDEX('Bibliothèque constats'!$K$5:$K$88,MATCH($M21,'Bibliothèque constats'!$A$5:$A$88,0)),"")</f>
        <v/>
      </c>
      <c r="U21" s="30">
        <f>IFERROR(INDEX('Bibliothèque constats'!$L$5:$L$88,MATCH($M21,'Bibliothèque constats'!$A$5:$A$88,0)),"")</f>
        <v/>
      </c>
      <c r="V21" s="30">
        <f>IFERROR(INDEX('Bibliothèque constats'!$M$5:$M$88,MATCH($M21,'Bibliothèque constats'!$A$5:$A$88,0)),"")</f>
        <v/>
      </c>
      <c r="W21" s="30">
        <f>IFERROR(INDEX('Bibliothèque constats'!$E$5:$E$88,MATCH($M21,'Bibliothèque constats'!$A$5:$A$88,0)),"")</f>
        <v/>
      </c>
      <c r="X21" s="30">
        <f>IF(AND(Q21&gt;0,T21&lt;&gt;""),Q21*1000-ROW(),0)</f>
        <v/>
      </c>
      <c r="Y21" s="30">
        <f>IF(P21="Force",1000-ROW(),0)</f>
        <v/>
      </c>
    </row>
    <row r="22" ht="46.5" customHeight="1">
      <c r="A22" s="31">
        <f>IF(LARGE($Y$5:$Y$25,4)&lt;=0,"",4)</f>
        <v/>
      </c>
      <c r="B22" s="31">
        <f>IFERROR(IF(LARGE($Y$5:$Y$25,4)&lt;=0,"",INDEX($S$5:$S$25,MATCH(LARGE($Y$5:$Y$25,4),$Y$5:$Y$25,0))),"")</f>
        <v/>
      </c>
      <c r="C22" s="31">
        <f>IFERROR(IF(LARGE($Y$5:$Y$25,4)&lt;=0,"",INDEX($O$5:$O$25,MATCH(LARGE($Y$5:$Y$25,4),$Y$5:$Y$25,0))),"")</f>
        <v/>
      </c>
      <c r="D22" s="31">
        <f>IFERROR(IF(LARGE($Y$5:$Y$25,4)&lt;=0,"",INDEX($W$5:$W$25,MATCH(LARGE($Y$5:$Y$25,4),$Y$5:$Y$25,0))),"")</f>
        <v/>
      </c>
      <c r="E22" s="31">
        <f>IFERROR(IF(LARGE($Y$5:$Y$25,4)&lt;=0,"",INDEX($V$5:$V$25,MATCH(LARGE($Y$5:$Y$25,4),$Y$5:$Y$25,0))),"")</f>
        <v/>
      </c>
      <c r="M22" s="30">
        <f>'Simulateur'!D43</f>
        <v/>
      </c>
      <c r="N22" s="30">
        <f>IFERROR(INDEX('Bibliothèque constats'!$B$5:$B$88,MATCH($M22,'Bibliothèque constats'!$A$5:$A$88,0)),"")</f>
        <v/>
      </c>
      <c r="O22" s="30">
        <f>IFERROR(INDEX('Bibliothèque constats'!$F$5:$F$88,MATCH($M22,'Bibliothèque constats'!$A$5:$A$88,0)),"")</f>
        <v/>
      </c>
      <c r="P22" s="30">
        <f>IFERROR(INDEX('Bibliothèque constats'!$G$5:$G$88,MATCH($M22,'Bibliothèque constats'!$A$5:$A$88,0)),"")</f>
        <v/>
      </c>
      <c r="Q22" s="30">
        <f>IFERROR(INDEX('Bibliothèque constats'!$H$5:$H$88,MATCH($M22,'Bibliothèque constats'!$A$5:$A$88,0)),"")</f>
        <v/>
      </c>
      <c r="R22" s="30">
        <f>IFERROR(INDEX('Bibliothèque constats'!$I$5:$I$88,MATCH($M22,'Bibliothèque constats'!$A$5:$A$88,0)),"")</f>
        <v/>
      </c>
      <c r="S22" s="30">
        <f>IFERROR(INDEX('Bibliothèque constats'!$J$5:$J$88,MATCH($M22,'Bibliothèque constats'!$A$5:$A$88,0)),"")</f>
        <v/>
      </c>
      <c r="T22" s="30">
        <f>IFERROR(INDEX('Bibliothèque constats'!$K$5:$K$88,MATCH($M22,'Bibliothèque constats'!$A$5:$A$88,0)),"")</f>
        <v/>
      </c>
      <c r="U22" s="30">
        <f>IFERROR(INDEX('Bibliothèque constats'!$L$5:$L$88,MATCH($M22,'Bibliothèque constats'!$A$5:$A$88,0)),"")</f>
        <v/>
      </c>
      <c r="V22" s="30">
        <f>IFERROR(INDEX('Bibliothèque constats'!$M$5:$M$88,MATCH($M22,'Bibliothèque constats'!$A$5:$A$88,0)),"")</f>
        <v/>
      </c>
      <c r="W22" s="30">
        <f>IFERROR(INDEX('Bibliothèque constats'!$E$5:$E$88,MATCH($M22,'Bibliothèque constats'!$A$5:$A$88,0)),"")</f>
        <v/>
      </c>
      <c r="X22" s="30">
        <f>IF(AND(Q22&gt;0,T22&lt;&gt;""),Q22*1000-ROW(),0)</f>
        <v/>
      </c>
      <c r="Y22" s="30">
        <f>IF(P22="Force",1000-ROW(),0)</f>
        <v/>
      </c>
    </row>
    <row r="23">
      <c r="M23" s="30">
        <f>'Simulateur'!D44</f>
        <v/>
      </c>
      <c r="N23" s="30">
        <f>IFERROR(INDEX('Bibliothèque constats'!$B$5:$B$88,MATCH($M23,'Bibliothèque constats'!$A$5:$A$88,0)),"")</f>
        <v/>
      </c>
      <c r="O23" s="30">
        <f>IFERROR(INDEX('Bibliothèque constats'!$F$5:$F$88,MATCH($M23,'Bibliothèque constats'!$A$5:$A$88,0)),"")</f>
        <v/>
      </c>
      <c r="P23" s="30">
        <f>IFERROR(INDEX('Bibliothèque constats'!$G$5:$G$88,MATCH($M23,'Bibliothèque constats'!$A$5:$A$88,0)),"")</f>
        <v/>
      </c>
      <c r="Q23" s="30">
        <f>IFERROR(INDEX('Bibliothèque constats'!$H$5:$H$88,MATCH($M23,'Bibliothèque constats'!$A$5:$A$88,0)),"")</f>
        <v/>
      </c>
      <c r="R23" s="30">
        <f>IFERROR(INDEX('Bibliothèque constats'!$I$5:$I$88,MATCH($M23,'Bibliothèque constats'!$A$5:$A$88,0)),"")</f>
        <v/>
      </c>
      <c r="S23" s="30">
        <f>IFERROR(INDEX('Bibliothèque constats'!$J$5:$J$88,MATCH($M23,'Bibliothèque constats'!$A$5:$A$88,0)),"")</f>
        <v/>
      </c>
      <c r="T23" s="30">
        <f>IFERROR(INDEX('Bibliothèque constats'!$K$5:$K$88,MATCH($M23,'Bibliothèque constats'!$A$5:$A$88,0)),"")</f>
        <v/>
      </c>
      <c r="U23" s="30">
        <f>IFERROR(INDEX('Bibliothèque constats'!$L$5:$L$88,MATCH($M23,'Bibliothèque constats'!$A$5:$A$88,0)),"")</f>
        <v/>
      </c>
      <c r="V23" s="30">
        <f>IFERROR(INDEX('Bibliothèque constats'!$M$5:$M$88,MATCH($M23,'Bibliothèque constats'!$A$5:$A$88,0)),"")</f>
        <v/>
      </c>
      <c r="W23" s="30">
        <f>IFERROR(INDEX('Bibliothèque constats'!$E$5:$E$88,MATCH($M23,'Bibliothèque constats'!$A$5:$A$88,0)),"")</f>
        <v/>
      </c>
      <c r="X23" s="30">
        <f>IF(AND(Q23&gt;0,T23&lt;&gt;""),Q23*1000-ROW(),0)</f>
        <v/>
      </c>
      <c r="Y23" s="30">
        <f>IF(P23="Force",1000-ROW(),0)</f>
        <v/>
      </c>
    </row>
    <row r="24" ht="25.5" customHeight="1">
      <c r="A24" s="10" t="inlineStr">
        <is>
          <t>Informations utiles pour préparer l’échange</t>
        </is>
      </c>
      <c r="M24" s="30">
        <f>'Simulateur'!D45</f>
        <v/>
      </c>
      <c r="N24" s="30">
        <f>IFERROR(INDEX('Bibliothèque constats'!$B$5:$B$88,MATCH($M24,'Bibliothèque constats'!$A$5:$A$88,0)),"")</f>
        <v/>
      </c>
      <c r="O24" s="30">
        <f>IFERROR(INDEX('Bibliothèque constats'!$F$5:$F$88,MATCH($M24,'Bibliothèque constats'!$A$5:$A$88,0)),"")</f>
        <v/>
      </c>
      <c r="P24" s="30">
        <f>IFERROR(INDEX('Bibliothèque constats'!$G$5:$G$88,MATCH($M24,'Bibliothèque constats'!$A$5:$A$88,0)),"")</f>
        <v/>
      </c>
      <c r="Q24" s="30">
        <f>IFERROR(INDEX('Bibliothèque constats'!$H$5:$H$88,MATCH($M24,'Bibliothèque constats'!$A$5:$A$88,0)),"")</f>
        <v/>
      </c>
      <c r="R24" s="30">
        <f>IFERROR(INDEX('Bibliothèque constats'!$I$5:$I$88,MATCH($M24,'Bibliothèque constats'!$A$5:$A$88,0)),"")</f>
        <v/>
      </c>
      <c r="S24" s="30">
        <f>IFERROR(INDEX('Bibliothèque constats'!$J$5:$J$88,MATCH($M24,'Bibliothèque constats'!$A$5:$A$88,0)),"")</f>
        <v/>
      </c>
      <c r="T24" s="30">
        <f>IFERROR(INDEX('Bibliothèque constats'!$K$5:$K$88,MATCH($M24,'Bibliothèque constats'!$A$5:$A$88,0)),"")</f>
        <v/>
      </c>
      <c r="U24" s="30">
        <f>IFERROR(INDEX('Bibliothèque constats'!$L$5:$L$88,MATCH($M24,'Bibliothèque constats'!$A$5:$A$88,0)),"")</f>
        <v/>
      </c>
      <c r="V24" s="30">
        <f>IFERROR(INDEX('Bibliothèque constats'!$M$5:$M$88,MATCH($M24,'Bibliothèque constats'!$A$5:$A$88,0)),"")</f>
        <v/>
      </c>
      <c r="W24" s="30">
        <f>IFERROR(INDEX('Bibliothèque constats'!$E$5:$E$88,MATCH($M24,'Bibliothèque constats'!$A$5:$A$88,0)),"")</f>
        <v/>
      </c>
      <c r="X24" s="30">
        <f>IF(AND(Q24&gt;0,T24&lt;&gt;""),Q24*1000-ROW(),0)</f>
        <v/>
      </c>
      <c r="Y24" s="30">
        <f>IF(P24="Force",1000-ROW(),0)</f>
        <v/>
      </c>
    </row>
    <row r="25" ht="36" customHeight="1">
      <c r="A25" s="117" t="inlineStr">
        <is>
          <t>Canal de vente déclaré</t>
        </is>
      </c>
      <c r="C25" s="29">
        <f>IF(S15="","",S15&amp;" Réponse : "&amp;W15)</f>
        <v/>
      </c>
      <c r="D25" s="121" t="n"/>
      <c r="E25" s="121" t="n"/>
      <c r="F25" s="121" t="n"/>
      <c r="M25" s="31">
        <f>'Simulateur'!D46</f>
        <v/>
      </c>
      <c r="N25" s="31">
        <f>IFERROR(INDEX('Bibliothèque constats'!$B$5:$B$88,MATCH($M25,'Bibliothèque constats'!$A$5:$A$88,0)),"")</f>
        <v/>
      </c>
      <c r="O25" s="31">
        <f>IFERROR(INDEX('Bibliothèque constats'!$F$5:$F$88,MATCH($M25,'Bibliothèque constats'!$A$5:$A$88,0)),"")</f>
        <v/>
      </c>
      <c r="P25" s="31">
        <f>IFERROR(INDEX('Bibliothèque constats'!$G$5:$G$88,MATCH($M25,'Bibliothèque constats'!$A$5:$A$88,0)),"")</f>
        <v/>
      </c>
      <c r="Q25" s="31">
        <f>IFERROR(INDEX('Bibliothèque constats'!$H$5:$H$88,MATCH($M25,'Bibliothèque constats'!$A$5:$A$88,0)),"")</f>
        <v/>
      </c>
      <c r="R25" s="31">
        <f>IFERROR(INDEX('Bibliothèque constats'!$I$5:$I$88,MATCH($M25,'Bibliothèque constats'!$A$5:$A$88,0)),"")</f>
        <v/>
      </c>
      <c r="S25" s="31">
        <f>IFERROR(INDEX('Bibliothèque constats'!$J$5:$J$88,MATCH($M25,'Bibliothèque constats'!$A$5:$A$88,0)),"")</f>
        <v/>
      </c>
      <c r="T25" s="31">
        <f>IFERROR(INDEX('Bibliothèque constats'!$K$5:$K$88,MATCH($M25,'Bibliothèque constats'!$A$5:$A$88,0)),"")</f>
        <v/>
      </c>
      <c r="U25" s="31">
        <f>IFERROR(INDEX('Bibliothèque constats'!$L$5:$L$88,MATCH($M25,'Bibliothèque constats'!$A$5:$A$88,0)),"")</f>
        <v/>
      </c>
      <c r="V25" s="31">
        <f>IFERROR(INDEX('Bibliothèque constats'!$M$5:$M$88,MATCH($M25,'Bibliothèque constats'!$A$5:$A$88,0)),"")</f>
        <v/>
      </c>
      <c r="W25" s="31">
        <f>IFERROR(INDEX('Bibliothèque constats'!$E$5:$E$88,MATCH($M25,'Bibliothèque constats'!$A$5:$A$88,0)),"")</f>
        <v/>
      </c>
      <c r="X25" s="31">
        <f>IF(AND(Q25&gt;0,T25&lt;&gt;""),Q25*1000-ROW(),0)</f>
        <v/>
      </c>
      <c r="Y25" s="31">
        <f>IF(P25="Force",1000-ROW(),0)</f>
        <v/>
      </c>
    </row>
    <row r="26" ht="36" customHeight="1">
      <c r="A26" s="117" t="inlineStr">
        <is>
          <t>Condition d’adoption déclarée</t>
        </is>
      </c>
      <c r="C26" s="30">
        <f>IF(S17="","",S17&amp;" Réponse : "&amp;W17)</f>
        <v/>
      </c>
      <c r="D26" s="122" t="n"/>
      <c r="E26" s="122" t="n"/>
      <c r="F26" s="122" t="n"/>
    </row>
    <row r="27" ht="36" customHeight="1">
      <c r="A27" s="117" t="inlineStr">
        <is>
          <t>Progrès prioritaire déclaré</t>
        </is>
      </c>
      <c r="C27" s="30">
        <f>IF(S18="","",S18&amp;" Réponse : "&amp;W18)</f>
        <v/>
      </c>
      <c r="D27" s="122" t="n"/>
      <c r="E27" s="122" t="n"/>
      <c r="F27" s="122" t="n"/>
    </row>
    <row r="28" ht="36" customHeight="1">
      <c r="A28" s="117" t="inlineStr">
        <is>
          <t>Nature de différenciation déclarée</t>
        </is>
      </c>
      <c r="C28" s="31">
        <f>IF(S21="","",S21&amp;" Réponse : "&amp;W21)</f>
        <v/>
      </c>
      <c r="D28" s="123" t="n"/>
      <c r="E28" s="123" t="n"/>
      <c r="F28" s="123" t="n"/>
    </row>
    <row r="29">
      <c r="M29" s="19" t="inlineStr">
        <is>
          <t>ID</t>
        </is>
      </c>
      <c r="N29" s="20" t="inlineStr">
        <is>
          <t>Thème</t>
        </is>
      </c>
      <c r="O29" s="20" t="inlineStr">
        <is>
          <t>Gravité</t>
        </is>
      </c>
      <c r="P29" s="20" t="inlineStr">
        <is>
          <t>Niveau</t>
        </is>
      </c>
      <c r="Q29" s="20" t="inlineStr">
        <is>
          <t>Signaux</t>
        </is>
      </c>
      <c r="R29" s="20" t="inlineStr">
        <is>
          <t>Hypothèse</t>
        </is>
      </c>
      <c r="S29" s="20" t="inlineStr">
        <is>
          <t>Relance</t>
        </is>
      </c>
      <c r="T29" s="20" t="inlineStr">
        <is>
          <t>Détectée</t>
        </is>
      </c>
      <c r="U29" s="21" t="inlineStr">
        <is>
          <t>Rang</t>
        </is>
      </c>
    </row>
    <row r="30" ht="25.5" customHeight="1">
      <c r="A30" s="10" t="inlineStr">
        <is>
          <t>Hypothèses issues du croisement des réponses</t>
        </is>
      </c>
      <c r="M30" s="29" t="inlineStr">
        <is>
          <t>RC01</t>
        </is>
      </c>
      <c r="N30" s="29" t="inlineStr">
        <is>
          <t>Parcours social fragmenté</t>
        </is>
      </c>
      <c r="O30" s="29" t="n">
        <v>2</v>
      </c>
      <c r="P30" s="29" t="inlineStr">
        <is>
          <t>Modérée</t>
        </is>
      </c>
      <c r="Q30" s="29" t="inlineStr">
        <is>
          <t>Les ventes passent par les réseaux sociaux, mais le passage des interactions ou demandes numériques à des ventes mesurées reste à clarifier.</t>
        </is>
      </c>
      <c r="R30" s="29" t="inlineStr">
        <is>
          <t>Le parcours entre découverte, conversation, commande et paiement pourrait être fragmenté.</t>
        </is>
      </c>
      <c r="S30" s="29" t="inlineStr">
        <is>
          <t>Après une demande reçue sur les réseaux sociaux, quelles étapes le client suit-il jusqu’au paiement ?</t>
        </is>
      </c>
      <c r="T30" s="29">
        <f>IF(AND(COUNTIF('Simulateur'!$D$10:$D$23,"Q11C")&gt;0,OR(COUNTIF('Simulateur'!$D$40:$D$46,"R6A")&gt;0,COUNTIF('Simulateur'!$D$40:$D$46,"R6B")&gt;0,COUNTIF('Simulateur'!$D$40:$D$46,"R6C")&gt;0)),"Oui","")</f>
        <v/>
      </c>
      <c r="U30" s="29">
        <f>IF(T30="Oui",O30*1000-ROW(),0)</f>
        <v/>
      </c>
    </row>
    <row r="31">
      <c r="A31" s="120" t="inlineStr">
        <is>
          <t>À présenter comme des questions à confirmer avec le prospect, jamais comme des faits établis.</t>
        </is>
      </c>
      <c r="M31" s="30" t="inlineStr">
        <is>
          <t>RC02</t>
        </is>
      </c>
      <c r="N31" s="30" t="inlineStr">
        <is>
          <t>Site vitrine déconnecté</t>
        </is>
      </c>
      <c r="O31" s="30" t="n">
        <v>2</v>
      </c>
      <c r="P31" s="30" t="inlineStr">
        <is>
          <t>Modérée</t>
        </is>
      </c>
      <c r="Q31" s="30" t="inlineStr">
        <is>
          <t>Le site présente l’offre, mais la commande se finalise ailleurs et le digital produit peu d’opportunités.</t>
        </is>
      </c>
      <c r="R31" s="30" t="inlineStr">
        <is>
          <t>Le passage du site vers la commande ou le paiement pourrait provoquer des abandons.</t>
        </is>
      </c>
      <c r="S31" s="30" t="inlineStr">
        <is>
          <t>Que doit faire un visiteur intéressé après avoir consulté une offre sur votre site ?</t>
        </is>
      </c>
      <c r="T31" s="30">
        <f>IF(AND(COUNTIF('Simulateur'!$D$10:$D$23,"Q11B")&gt;0,OR(COUNTIF('Simulateur'!$D$40:$D$46,"R6A")&gt;0,COUNTIF('Simulateur'!$D$40:$D$46,"R6B")&gt;0)),"Oui","")</f>
        <v/>
      </c>
      <c r="U31" s="30">
        <f>IF(T31="Oui",O31*1000-ROW(),0)</f>
        <v/>
      </c>
    </row>
    <row r="32" ht="28.5" customHeight="1">
      <c r="A32" s="19" t="inlineStr">
        <is>
          <t>#</t>
        </is>
      </c>
      <c r="B32" s="20" t="inlineStr">
        <is>
          <t>Thème</t>
        </is>
      </c>
      <c r="C32" s="20" t="inlineStr">
        <is>
          <t>Gravité</t>
        </is>
      </c>
      <c r="D32" s="20" t="inlineStr">
        <is>
          <t>Signaux croisés</t>
        </is>
      </c>
      <c r="E32" s="20" t="inlineStr">
        <is>
          <t>Hypothèse à confirmer</t>
        </is>
      </c>
      <c r="F32" s="21" t="inlineStr">
        <is>
          <t>Question de relance</t>
        </is>
      </c>
      <c r="M32" s="30" t="inlineStr">
        <is>
          <t>RC03</t>
        </is>
      </c>
      <c r="N32" s="30" t="inlineStr">
        <is>
          <t>Site transactionnel peu performant</t>
        </is>
      </c>
      <c r="O32" s="30" t="n">
        <v>2</v>
      </c>
      <c r="P32" s="30" t="inlineStr">
        <is>
          <t>Modérée</t>
        </is>
      </c>
      <c r="Q32" s="30" t="inlineStr">
        <is>
          <t>Le site permet de commander et payer, mais les effets numériques restent faibles ou non mesurés.</t>
        </is>
      </c>
      <c r="R32" s="30" t="inlineStr">
        <is>
          <t>La difficulté pourrait se situer dans l’acquisition, la conversion ou la mesure du parcours.</t>
        </is>
      </c>
      <c r="S32" s="30" t="inlineStr">
        <is>
          <t>À quelle étape du site perdez-vous le plus de visiteurs ou de commandes ?</t>
        </is>
      </c>
      <c r="T32" s="30">
        <f>IF(AND(COUNTIF('Simulateur'!$D$10:$D$23,"Q11A")&gt;0,OR(COUNTIF('Simulateur'!$D$40:$D$46,"R6A")&gt;0,COUNTIF('Simulateur'!$D$40:$D$46,"R6B")&gt;0)),"Oui","")</f>
        <v/>
      </c>
      <c r="U32" s="30">
        <f>IF(T32="Oui",O32*1000-ROW(),0)</f>
        <v/>
      </c>
    </row>
    <row r="33" ht="61.5" customHeight="1">
      <c r="A33" s="29">
        <f>IF(LARGE($U$30:$U$45,1)&lt;=0,"",1)</f>
        <v/>
      </c>
      <c r="B33" s="29">
        <f>IFERROR(IF(LARGE($U$30:$U$45,1)&lt;=0,"",INDEX($N$30:$N$45,MATCH(LARGE($U$30:$U$45,1),$U$30:$U$45,0))),"")</f>
        <v/>
      </c>
      <c r="C33" s="29">
        <f>IFERROR(IF(LARGE($U$30:$U$45,1)&lt;=0,"",INDEX($P$30:$P$45,MATCH(LARGE($U$30:$U$45,1),$U$30:$U$45,0))),"")</f>
        <v/>
      </c>
      <c r="D33" s="29">
        <f>IFERROR(IF(LARGE($U$30:$U$45,1)&lt;=0,"",INDEX($Q$30:$Q$45,MATCH(LARGE($U$30:$U$45,1),$U$30:$U$45,0))),"")</f>
        <v/>
      </c>
      <c r="E33" s="29">
        <f>IFERROR(IF(LARGE($U$30:$U$45,1)&lt;=0,"",INDEX($R$30:$R$45,MATCH(LARGE($U$30:$U$45,1),$U$30:$U$45,0))),"")</f>
        <v/>
      </c>
      <c r="F33" s="29">
        <f>IFERROR(IF(LARGE($U$30:$U$45,1)&lt;=0,"",INDEX($S$30:$S$45,MATCH(LARGE($U$30:$U$45,1),$U$30:$U$45,0))),"")</f>
        <v/>
      </c>
      <c r="M33" s="30" t="inlineStr">
        <is>
          <t>RC04</t>
        </is>
      </c>
      <c r="N33" s="30" t="inlineStr">
        <is>
          <t>Encaissement à distance incomplet</t>
        </is>
      </c>
      <c r="O33" s="30" t="n">
        <v>3</v>
      </c>
      <c r="P33" s="30" t="inlineStr">
        <is>
          <t>Élevée</t>
        </is>
      </c>
      <c r="Q33" s="30" t="inlineStr">
        <is>
          <t>L’activité possède un canal de vente digital, mais ne dispose pas d’un parcours organisé pour encaisser à distance.</t>
        </is>
      </c>
      <c r="R33" s="30" t="inlineStr">
        <is>
          <t>La finalisation du paiement pourrait interrompre certaines ventes digitales.</t>
        </is>
      </c>
      <c r="S33" s="30" t="inlineStr">
        <is>
          <t>Combien de demandes à distance restent sans suite au moment de payer ?</t>
        </is>
      </c>
      <c r="T33" s="30">
        <f>IF(AND(OR(COUNTIF('Simulateur'!$D$10:$D$23,"Q10C")&gt;0,COUNTIF('Simulateur'!$D$10:$D$23,"Q10D")&gt;0),OR(COUNTIF('Simulateur'!$D$10:$D$23,"Q11A")&gt;0,COUNTIF('Simulateur'!$D$10:$D$23,"Q11B")&gt;0,COUNTIF('Simulateur'!$D$10:$D$23,"Q11C")&gt;0)),"Oui","")</f>
        <v/>
      </c>
      <c r="U33" s="30">
        <f>IF(T33="Oui",O33*1000-ROW(),0)</f>
        <v/>
      </c>
    </row>
    <row r="34" ht="61.5" customHeight="1">
      <c r="A34" s="30">
        <f>IF(LARGE($U$30:$U$45,2)&lt;=0,"",2)</f>
        <v/>
      </c>
      <c r="B34" s="30">
        <f>IFERROR(IF(LARGE($U$30:$U$45,2)&lt;=0,"",INDEX($N$30:$N$45,MATCH(LARGE($U$30:$U$45,2),$U$30:$U$45,0))),"")</f>
        <v/>
      </c>
      <c r="C34" s="30">
        <f>IFERROR(IF(LARGE($U$30:$U$45,2)&lt;=0,"",INDEX($P$30:$P$45,MATCH(LARGE($U$30:$U$45,2),$U$30:$U$45,0))),"")</f>
        <v/>
      </c>
      <c r="D34" s="30">
        <f>IFERROR(IF(LARGE($U$30:$U$45,2)&lt;=0,"",INDEX($Q$30:$Q$45,MATCH(LARGE($U$30:$U$45,2),$U$30:$U$45,0))),"")</f>
        <v/>
      </c>
      <c r="E34" s="30">
        <f>IFERROR(IF(LARGE($U$30:$U$45,2)&lt;=0,"",INDEX($R$30:$R$45,MATCH(LARGE($U$30:$U$45,2),$U$30:$U$45,0))),"")</f>
        <v/>
      </c>
      <c r="F34" s="30">
        <f>IFERROR(IF(LARGE($U$30:$U$45,2)&lt;=0,"",INDEX($S$30:$S$45,MATCH(LARGE($U$30:$U$45,2),$U$30:$U$45,0))),"")</f>
        <v/>
      </c>
      <c r="M34" s="30" t="inlineStr">
        <is>
          <t>RC05</t>
        </is>
      </c>
      <c r="N34" s="30" t="inlineStr">
        <is>
          <t>Dispersion des paiements et trésorerie</t>
        </is>
      </c>
      <c r="O34" s="30" t="n">
        <v>3</v>
      </c>
      <c r="P34" s="30" t="inlineStr">
        <is>
          <t>Élevée</t>
        </is>
      </c>
      <c r="Q34" s="30" t="inlineStr">
        <is>
          <t>Les paiements sont dispersés et la trésorerie est évaluée à partir des soldes ou au moment des dépenses.</t>
        </is>
      </c>
      <c r="R34" s="30" t="inlineStr">
        <is>
          <t>La fragmentation des encaissements pourrait empêcher une lecture fiable de la trésorerie.</t>
        </is>
      </c>
      <c r="S34" s="30" t="inlineStr">
        <is>
          <t>Comment obtenez-vous un montant unique et fiable avant de décider d’une dépense ?</t>
        </is>
      </c>
      <c r="T34" s="30">
        <f>IF(AND(OR(COUNTIF('Simulateur'!$D$10:$D$23,"Q6B")&gt;0,COUNTIF('Simulateur'!$D$10:$D$23,"Q6C")&gt;0,COUNTIF('Simulateur'!$D$10:$D$23,"Q6D")&gt;0),OR(COUNTIF('Simulateur'!$D$10:$D$23,"Q7C")&gt;0,COUNTIF('Simulateur'!$D$10:$D$23,"Q7D")&gt;0)),"Oui","")</f>
        <v/>
      </c>
      <c r="U34" s="30">
        <f>IF(T34="Oui",O34*1000-ROW(),0)</f>
        <v/>
      </c>
    </row>
    <row r="35" ht="61.5" customHeight="1">
      <c r="A35" s="30">
        <f>IF(LARGE($U$30:$U$45,3)&lt;=0,"",3)</f>
        <v/>
      </c>
      <c r="B35" s="30">
        <f>IFERROR(IF(LARGE($U$30:$U$45,3)&lt;=0,"",INDEX($N$30:$N$45,MATCH(LARGE($U$30:$U$45,3),$U$30:$U$45,0))),"")</f>
        <v/>
      </c>
      <c r="C35" s="30">
        <f>IFERROR(IF(LARGE($U$30:$U$45,3)&lt;=0,"",INDEX($P$30:$P$45,MATCH(LARGE($U$30:$U$45,3),$U$30:$U$45,0))),"")</f>
        <v/>
      </c>
      <c r="D35" s="30">
        <f>IFERROR(IF(LARGE($U$30:$U$45,3)&lt;=0,"",INDEX($Q$30:$Q$45,MATCH(LARGE($U$30:$U$45,3),$U$30:$U$45,0))),"")</f>
        <v/>
      </c>
      <c r="E35" s="30">
        <f>IFERROR(IF(LARGE($U$30:$U$45,3)&lt;=0,"",INDEX($R$30:$R$45,MATCH(LARGE($U$30:$U$45,3),$U$30:$U$45,0))),"")</f>
        <v/>
      </c>
      <c r="F35" s="30">
        <f>IFERROR(IF(LARGE($U$30:$U$45,3)&lt;=0,"",INDEX($S$30:$S$45,MATCH(LARGE($U$30:$U$45,3),$U$30:$U$45,0))),"")</f>
        <v/>
      </c>
      <c r="M35" s="30" t="inlineStr">
        <is>
          <t>RC06</t>
        </is>
      </c>
      <c r="N35" s="30" t="inlineStr">
        <is>
          <t>Écarts impossibles à expliquer rapidement</t>
        </is>
      </c>
      <c r="O35" s="30" t="n">
        <v>3</v>
      </c>
      <c r="P35" s="30" t="inlineStr">
        <is>
          <t>Élevée</t>
        </is>
      </c>
      <c r="Q35" s="30" t="inlineStr">
        <is>
          <t>Le suivi des ventes est reconstitué ou informel et les écarts dépendent d’explications ou restent sans preuve.</t>
        </is>
      </c>
      <c r="R35" s="30" t="inlineStr">
        <is>
          <t>L’entreprise pourrait manquer des éléments nécessaires pour distinguer erreur, oubli et vente non déclarée.</t>
        </is>
      </c>
      <c r="S35" s="30" t="inlineStr">
        <is>
          <t>Pouvez-vous retracer une vente précise depuis la commande jusqu’au paiement reçu ?</t>
        </is>
      </c>
      <c r="T35" s="30">
        <f>IF(AND(OR(COUNTIF('Simulateur'!$D$10:$D$23,"Q4C")&gt;0,COUNTIF('Simulateur'!$D$10:$D$23,"Q4D")&gt;0),OR(COUNTIF('Simulateur'!$D$10:$D$23,"Q5C")&gt;0,COUNTIF('Simulateur'!$D$10:$D$23,"Q5D")&gt;0)),"Oui","")</f>
        <v/>
      </c>
      <c r="U35" s="30">
        <f>IF(T35="Oui",O35*1000-ROW(),0)</f>
        <v/>
      </c>
    </row>
    <row r="36" ht="61.5" customHeight="1">
      <c r="A36" s="30">
        <f>IF(LARGE($U$30:$U$45,4)&lt;=0,"",4)</f>
        <v/>
      </c>
      <c r="B36" s="30">
        <f>IFERROR(IF(LARGE($U$30:$U$45,4)&lt;=0,"",INDEX($N$30:$N$45,MATCH(LARGE($U$30:$U$45,4),$U$30:$U$45,0))),"")</f>
        <v/>
      </c>
      <c r="C36" s="30">
        <f>IFERROR(IF(LARGE($U$30:$U$45,4)&lt;=0,"",INDEX($P$30:$P$45,MATCH(LARGE($U$30:$U$45,4),$U$30:$U$45,0))),"")</f>
        <v/>
      </c>
      <c r="D36" s="30">
        <f>IFERROR(IF(LARGE($U$30:$U$45,4)&lt;=0,"",INDEX($Q$30:$Q$45,MATCH(LARGE($U$30:$U$45,4),$U$30:$U$45,0))),"")</f>
        <v/>
      </c>
      <c r="E36" s="30">
        <f>IFERROR(IF(LARGE($U$30:$U$45,4)&lt;=0,"",INDEX($R$30:$R$45,MATCH(LARGE($U$30:$U$45,4),$U$30:$U$45,0))),"")</f>
        <v/>
      </c>
      <c r="F36" s="30">
        <f>IFERROR(IF(LARGE($U$30:$U$45,4)&lt;=0,"",INDEX($S$30:$S$45,MATCH(LARGE($U$30:$U$45,4),$U$30:$U$45,0))),"")</f>
        <v/>
      </c>
      <c r="M36" s="30" t="inlineStr">
        <is>
          <t>RC07</t>
        </is>
      </c>
      <c r="N36" s="30" t="inlineStr">
        <is>
          <t>Délégation insuffisamment traçable</t>
        </is>
      </c>
      <c r="O36" s="30" t="n">
        <v>3</v>
      </c>
      <c r="P36" s="30" t="inlineStr">
        <is>
          <t>Élevée</t>
        </is>
      </c>
      <c r="Q36" s="30" t="inlineStr">
        <is>
          <t>Des collaborateurs encaissent, mais le contrôle repose sur un support partagé, un point oral ou un montant global.</t>
        </is>
      </c>
      <c r="R36" s="30" t="inlineStr">
        <is>
          <t>Les responsabilités individuelles pourraient être difficiles à établir en cas d’écart.</t>
        </is>
      </c>
      <c r="S36" s="30" t="inlineStr">
        <is>
          <t>Comment attribuez-vous précisément un écart à une vente et à la personne concernée ?</t>
        </is>
      </c>
      <c r="T36" s="30">
        <f>IF(AND(OR(COUNTIF('Simulateur'!$D$10:$D$23,"Q9B")&gt;0,COUNTIF('Simulateur'!$D$10:$D$23,"Q9C")&gt;0),OR(COUNTIF('Simulateur'!$D$10:$D$23,"Q5C")&gt;0,COUNTIF('Simulateur'!$D$10:$D$23,"Q5D")&gt;0)),"Oui","")</f>
        <v/>
      </c>
      <c r="U36" s="30">
        <f>IF(T36="Oui",O36*1000-ROW(),0)</f>
        <v/>
      </c>
    </row>
    <row r="37" ht="61.5" customHeight="1">
      <c r="A37" s="30">
        <f>IF(LARGE($U$30:$U$45,5)&lt;=0,"",5)</f>
        <v/>
      </c>
      <c r="B37" s="30">
        <f>IFERROR(IF(LARGE($U$30:$U$45,5)&lt;=0,"",INDEX($N$30:$N$45,MATCH(LARGE($U$30:$U$45,5),$U$30:$U$45,0))),"")</f>
        <v/>
      </c>
      <c r="C37" s="30">
        <f>IFERROR(IF(LARGE($U$30:$U$45,5)&lt;=0,"",INDEX($P$30:$P$45,MATCH(LARGE($U$30:$U$45,5),$U$30:$U$45,0))),"")</f>
        <v/>
      </c>
      <c r="D37" s="30">
        <f>IFERROR(IF(LARGE($U$30:$U$45,5)&lt;=0,"",INDEX($Q$30:$Q$45,MATCH(LARGE($U$30:$U$45,5),$U$30:$U$45,0))),"")</f>
        <v/>
      </c>
      <c r="E37" s="30">
        <f>IFERROR(IF(LARGE($U$30:$U$45,5)&lt;=0,"",INDEX($R$30:$R$45,MATCH(LARGE($U$30:$U$45,5),$U$30:$U$45,0))),"")</f>
        <v/>
      </c>
      <c r="F37" s="30">
        <f>IFERROR(IF(LARGE($U$30:$U$45,5)&lt;=0,"",INDEX($S$30:$S$45,MATCH(LARGE($U$30:$U$45,5),$U$30:$U$45,0))),"")</f>
        <v/>
      </c>
      <c r="M37" s="30" t="inlineStr">
        <is>
          <t>RC08</t>
        </is>
      </c>
      <c r="N37" s="30" t="inlineStr">
        <is>
          <t>Comptabilité dépendante des reconstitutions</t>
        </is>
      </c>
      <c r="O37" s="30" t="n">
        <v>3</v>
      </c>
      <c r="P37" s="30" t="inlineStr">
        <is>
          <t>Élevée</t>
        </is>
      </c>
      <c r="Q37" s="30" t="inlineStr">
        <is>
          <t>Les ventes et opérations doivent être rassemblées ou reconstituées avant la comptabilité.</t>
        </is>
      </c>
      <c r="R37" s="30" t="inlineStr">
        <is>
          <t>La préparation comptable pourrait consommer beaucoup de temps et laisser des opérations mal documentées.</t>
        </is>
      </c>
      <c r="S37" s="30" t="inlineStr">
        <is>
          <t>Quelles informations vous manquent le plus souvent au moment de préparer la comptabilité ?</t>
        </is>
      </c>
      <c r="T37" s="30">
        <f>IF(AND(OR(COUNTIF('Simulateur'!$D$10:$D$23,"Q8C")&gt;0,COUNTIF('Simulateur'!$D$10:$D$23,"Q8D")&gt;0),OR(COUNTIF('Simulateur'!$D$10:$D$23,"Q4C")&gt;0,COUNTIF('Simulateur'!$D$10:$D$23,"Q4D")&gt;0)),"Oui","")</f>
        <v/>
      </c>
      <c r="U37" s="30">
        <f>IF(T37="Oui",O37*1000-ROW(),0)</f>
        <v/>
      </c>
    </row>
    <row r="38" ht="61.5" customHeight="1">
      <c r="A38" s="31">
        <f>IF(LARGE($U$30:$U$45,6)&lt;=0,"",6)</f>
        <v/>
      </c>
      <c r="B38" s="31">
        <f>IFERROR(IF(LARGE($U$30:$U$45,6)&lt;=0,"",INDEX($N$30:$N$45,MATCH(LARGE($U$30:$U$45,6),$U$30:$U$45,0))),"")</f>
        <v/>
      </c>
      <c r="C38" s="31">
        <f>IFERROR(IF(LARGE($U$30:$U$45,6)&lt;=0,"",INDEX($P$30:$P$45,MATCH(LARGE($U$30:$U$45,6),$U$30:$U$45,0))),"")</f>
        <v/>
      </c>
      <c r="D38" s="31">
        <f>IFERROR(IF(LARGE($U$30:$U$45,6)&lt;=0,"",INDEX($Q$30:$Q$45,MATCH(LARGE($U$30:$U$45,6),$U$30:$U$45,0))),"")</f>
        <v/>
      </c>
      <c r="E38" s="31">
        <f>IFERROR(IF(LARGE($U$30:$U$45,6)&lt;=0,"",INDEX($R$30:$R$45,MATCH(LARGE($U$30:$U$45,6),$U$30:$U$45,0))),"")</f>
        <v/>
      </c>
      <c r="F38" s="31">
        <f>IFERROR(IF(LARGE($U$30:$U$45,6)&lt;=0,"",INDEX($S$30:$S$45,MATCH(LARGE($U$30:$U$45,6),$U$30:$U$45,0))),"")</f>
        <v/>
      </c>
      <c r="M38" s="30" t="inlineStr">
        <is>
          <t>RC09</t>
        </is>
      </c>
      <c r="N38" s="30" t="inlineStr">
        <is>
          <t>Présence irrégulière sans conversion</t>
        </is>
      </c>
      <c r="O38" s="30" t="n">
        <v>2</v>
      </c>
      <c r="P38" s="30" t="inlineStr">
        <is>
          <t>Modérée</t>
        </is>
      </c>
      <c r="Q38" s="30" t="inlineStr">
        <is>
          <t>La présence numérique est faible ou irrégulière et produit peu de résultats commerciaux identifiables.</t>
        </is>
      </c>
      <c r="R38" s="30" t="inlineStr">
        <is>
          <t>Le problème pourrait combiner manque de régularité, absence de parcours et faible mesure.</t>
        </is>
      </c>
      <c r="S38" s="30" t="inlineStr">
        <is>
          <t>Quel résultat précis attendez-vous de votre présence numérique aujourd’hui ?</t>
        </is>
      </c>
      <c r="T38" s="30">
        <f>IF(AND(OR(COUNTIF('Simulateur'!$D$40:$D$46,"R5A")&gt;0,COUNTIF('Simulateur'!$D$40:$D$46,"R5B")&gt;0),OR(COUNTIF('Simulateur'!$D$40:$D$46,"R6A")&gt;0,COUNTIF('Simulateur'!$D$40:$D$46,"R6B")&gt;0)),"Oui","")</f>
        <v/>
      </c>
      <c r="U38" s="30">
        <f>IF(T38="Oui",O38*1000-ROW(),0)</f>
        <v/>
      </c>
    </row>
    <row r="39">
      <c r="M39" s="30" t="inlineStr">
        <is>
          <t>RC10</t>
        </is>
      </c>
      <c r="N39" s="30" t="inlineStr">
        <is>
          <t>Faible notoriété et faible présence</t>
        </is>
      </c>
      <c r="O39" s="30" t="n">
        <v>2</v>
      </c>
      <c r="P39" s="30" t="inlineStr">
        <is>
          <t>Modérée</t>
        </is>
      </c>
      <c r="Q39" s="30" t="inlineStr">
        <is>
          <t>La notoriété reste limitée et la présence numérique est faible ou irrégulière.</t>
        </is>
      </c>
      <c r="R39" s="30" t="inlineStr">
        <is>
          <t>La faible exposition de l’entreprise pourrait contribuer directement à son rayonnement limité.</t>
        </is>
      </c>
      <c r="S39" s="30" t="inlineStr">
        <is>
          <t>Comment de nouveaux prospects qui ne vous connaissent pas découvrent-ils actuellement l’entreprise ?</t>
        </is>
      </c>
      <c r="T39" s="30">
        <f>IF(AND(OR(COUNTIF('Simulateur'!$D$40:$D$46,"R1A")&gt;0,COUNTIF('Simulateur'!$D$40:$D$46,"R1B")&gt;0),OR(COUNTIF('Simulateur'!$D$40:$D$46,"R5A")&gt;0,COUNTIF('Simulateur'!$D$40:$D$46,"R5B")&gt;0)),"Oui","")</f>
        <v/>
      </c>
      <c r="U39" s="30">
        <f>IF(T39="Oui",O39*1000-ROW(),0)</f>
        <v/>
      </c>
    </row>
    <row r="40" ht="25.5" customHeight="1">
      <c r="A40" s="10" t="inlineStr">
        <is>
          <t>Mode d’emploi commercial</t>
        </is>
      </c>
      <c r="M40" s="30" t="inlineStr">
        <is>
          <t>RC11</t>
        </is>
      </c>
      <c r="N40" s="30" t="inlineStr">
        <is>
          <t>Lecture du marché et différence peu claires</t>
        </is>
      </c>
      <c r="O40" s="30" t="n">
        <v>3</v>
      </c>
      <c r="P40" s="30" t="inlineStr">
        <is>
          <t>Élevée</t>
        </is>
      </c>
      <c r="Q40" s="30" t="inlineStr">
        <is>
          <t>L’entreprise comprend peu les choix en faveur des concurrents et sa différence reste difficile à percevoir sans explication.</t>
        </is>
      </c>
      <c r="R40" s="30" t="inlineStr">
        <is>
          <t>La proposition de valeur pourrait être construite sans suffisamment de retours du marché.</t>
        </is>
      </c>
      <c r="S40" s="30" t="inlineStr">
        <is>
          <t>Quelles raisons vos prospects donnent-ils lorsqu’ils choisissent une autre offre ?</t>
        </is>
      </c>
      <c r="T40" s="30">
        <f>IF(AND(OR(COUNTIF('Simulateur'!$D$40:$D$46,"R2A")&gt;0,COUNTIF('Simulateur'!$D$40:$D$46,"R2B")&gt;0),OR(COUNTIF('Simulateur'!$D$40:$D$46,"R4A")&gt;0,COUNTIF('Simulateur'!$D$40:$D$46,"R4B")&gt;0)),"Oui","")</f>
        <v/>
      </c>
      <c r="U40" s="30">
        <f>IF(T40="Oui",O40*1000-ROW(),0)</f>
        <v/>
      </c>
    </row>
    <row r="41" ht="28.5" customHeight="1">
      <c r="A41" s="29" t="inlineStr">
        <is>
          <t>1. Partir du constat factuel et reprendre la réponse exacte du prospect.</t>
        </is>
      </c>
      <c r="B41" s="121" t="n"/>
      <c r="C41" s="121" t="n"/>
      <c r="D41" s="121" t="n"/>
      <c r="E41" s="121" t="n"/>
      <c r="F41" s="121" t="n"/>
      <c r="M41" s="30" t="inlineStr">
        <is>
          <t>RC12</t>
        </is>
      </c>
      <c r="N41" s="30" t="inlineStr">
        <is>
          <t>Différence peu convertie</t>
        </is>
      </c>
      <c r="O41" s="30" t="n">
        <v>2</v>
      </c>
      <c r="P41" s="30" t="inlineStr">
        <is>
          <t>Modérée</t>
        </is>
      </c>
      <c r="Q41" s="30" t="inlineStr">
        <is>
          <t>La différence est visible ou reconnue, mais sa transformation en ventes numériques mesurées n’est pas établie.</t>
        </is>
      </c>
      <c r="R41" s="30" t="inlineStr">
        <is>
          <t>La difficulté pourrait se situer dans la transformation de la différence en action commerciale.</t>
        </is>
      </c>
      <c r="S41" s="30" t="inlineStr">
        <is>
          <t>Quel appel à l’action permet aujourd’hui à un prospect convaincu de passer à l’étape suivante ?</t>
        </is>
      </c>
      <c r="T41" s="30">
        <f>IF(AND(OR(COUNTIF('Simulateur'!$D$40:$D$46,"R4C")&gt;0,COUNTIF('Simulateur'!$D$40:$D$46,"R4D")&gt;0),OR(COUNTIF('Simulateur'!$D$40:$D$46,"R6A")&gt;0,COUNTIF('Simulateur'!$D$40:$D$46,"R6B")&gt;0,COUNTIF('Simulateur'!$D$40:$D$46,"R6C")&gt;0)),"Oui","")</f>
        <v/>
      </c>
      <c r="U41" s="30">
        <f>IF(T41="Oui",O41*1000-ROW(),0)</f>
        <v/>
      </c>
    </row>
    <row r="42" ht="28.5" customHeight="1">
      <c r="A42" s="30" t="inlineStr">
        <is>
          <t>2. Utiliser la difficulté comme angle d’exploration, en demandant un exemple récent et son impact.</t>
        </is>
      </c>
      <c r="B42" s="122" t="n"/>
      <c r="C42" s="122" t="n"/>
      <c r="D42" s="122" t="n"/>
      <c r="E42" s="122" t="n"/>
      <c r="F42" s="122" t="n"/>
      <c r="M42" s="30" t="inlineStr">
        <is>
          <t>RC13</t>
        </is>
      </c>
      <c r="N42" s="30" t="inlineStr">
        <is>
          <t>Besoin de visibilité de trésorerie confirmé</t>
        </is>
      </c>
      <c r="O42" s="30" t="n">
        <v>3</v>
      </c>
      <c r="P42" s="30" t="inlineStr">
        <is>
          <t>Élevée</t>
        </is>
      </c>
      <c r="Q42" s="30" t="inlineStr">
        <is>
          <t>Le manque de visibilité sur la trésorerie apparaît dans la pratique et dans le progrès prioritaire déclaré.</t>
        </is>
      </c>
      <c r="R42" s="30" t="inlineStr">
        <is>
          <t>Le besoin est cohérent et mérite d’être quantifié pendant l’échange.</t>
        </is>
      </c>
      <c r="S42" s="30" t="inlineStr">
        <is>
          <t>Quelles décisions sont aujourd’hui retardées par ce manque de visibilité ?</t>
        </is>
      </c>
      <c r="T42" s="30">
        <f>IF(AND(OR(COUNTIF('Simulateur'!$D$10:$D$23,"Q7C")&gt;0,COUNTIF('Simulateur'!$D$10:$D$23,"Q7D")&gt;0),COUNTIF('Simulateur'!$D$10:$D$23,"Q14A")&gt;0),"Oui","")</f>
        <v/>
      </c>
      <c r="U42" s="30">
        <f>IF(T42="Oui",O42*1000-ROW(),0)</f>
        <v/>
      </c>
    </row>
    <row r="43" ht="28.5" customHeight="1">
      <c r="A43" s="31" t="inlineStr">
        <is>
          <t>3. Formuler les hypothèses sous forme de questions ; ne conclure ni sur le besoin ni sur une offre avant l’échange.</t>
        </is>
      </c>
      <c r="B43" s="123" t="n"/>
      <c r="C43" s="123" t="n"/>
      <c r="D43" s="123" t="n"/>
      <c r="E43" s="123" t="n"/>
      <c r="F43" s="123" t="n"/>
      <c r="M43" s="30" t="inlineStr">
        <is>
          <t>RC14</t>
        </is>
      </c>
      <c r="N43" s="30" t="inlineStr">
        <is>
          <t>Besoin de traçabilité confirmé</t>
        </is>
      </c>
      <c r="O43" s="30" t="n">
        <v>3</v>
      </c>
      <c r="P43" s="30" t="inlineStr">
        <is>
          <t>Élevée</t>
        </is>
      </c>
      <c r="Q43" s="30" t="inlineStr">
        <is>
          <t>La difficulté à expliquer ou retrouver les mouvements est cohérente avec le besoin prioritaire déclaré.</t>
        </is>
      </c>
      <c r="R43" s="30" t="inlineStr">
        <is>
          <t>La traçabilité constitue probablement un enjeu central du prospect.</t>
        </is>
      </c>
      <c r="S43" s="30" t="inlineStr">
        <is>
          <t>Quels mouvements de fonds vous préoccupent le plus aujourd’hui ?</t>
        </is>
      </c>
      <c r="T43" s="30">
        <f>IF(AND(OR(COUNTIF('Simulateur'!$D$10:$D$23,"Q5C")&gt;0,COUNTIF('Simulateur'!$D$10:$D$23,"Q5D")&gt;0,COUNTIF('Simulateur'!$D$10:$D$23,"Q12C")&gt;0,COUNTIF('Simulateur'!$D$10:$D$23,"Q12D")&gt;0),COUNTIF('Simulateur'!$D$10:$D$23,"Q14B")&gt;0),"Oui","")</f>
        <v/>
      </c>
      <c r="U43" s="30">
        <f>IF(T43="Oui",O43*1000-ROW(),0)</f>
        <v/>
      </c>
    </row>
    <row r="44">
      <c r="M44" s="30" t="inlineStr">
        <is>
          <t>RC15</t>
        </is>
      </c>
      <c r="N44" s="30" t="inlineStr">
        <is>
          <t>Besoin d’encaissement omnicanal confirmé</t>
        </is>
      </c>
      <c r="O44" s="30" t="n">
        <v>2</v>
      </c>
      <c r="P44" s="30" t="inlineStr">
        <is>
          <t>Modérée</t>
        </is>
      </c>
      <c r="Q44" s="30" t="inlineStr">
        <is>
          <t>Les limites actuelles d’encaissement concordent avec la volonté d’encaisser sur tous les canaux.</t>
        </is>
      </c>
      <c r="R44" s="30" t="inlineStr">
        <is>
          <t>Le besoin d’élargir ou unifier les parcours d’encaissement paraît cohérent.</t>
        </is>
      </c>
      <c r="S44" s="30" t="inlineStr">
        <is>
          <t>Sur quel canal perdez-vous actuellement le plus de ventes au moment du paiement ?</t>
        </is>
      </c>
      <c r="T44" s="30">
        <f>IF(AND(OR(COUNTIF('Simulateur'!$D$10:$D$23,"Q10C")&gt;0,COUNTIF('Simulateur'!$D$10:$D$23,"Q10D")&gt;0,COUNTIF('Simulateur'!$D$10:$D$23,"Q6B")&gt;0,COUNTIF('Simulateur'!$D$10:$D$23,"Q6C")&gt;0,COUNTIF('Simulateur'!$D$10:$D$23,"Q6D")&gt;0),COUNTIF('Simulateur'!$D$10:$D$23,"Q14C")&gt;0),"Oui","")</f>
        <v/>
      </c>
      <c r="U44" s="30">
        <f>IF(T44="Oui",O44*1000-ROW(),0)</f>
        <v/>
      </c>
    </row>
    <row r="45">
      <c r="M45" s="31" t="inlineStr">
        <is>
          <t>RC16</t>
        </is>
      </c>
      <c r="N45" s="31" t="inlineStr">
        <is>
          <t>Besoin de contrôle dans la délégation confirmé</t>
        </is>
      </c>
      <c r="O45" s="31" t="n">
        <v>3</v>
      </c>
      <c r="P45" s="31" t="inlineStr">
        <is>
          <t>Élevée</t>
        </is>
      </c>
      <c r="Q45" s="31" t="inlineStr">
        <is>
          <t>La manière actuelle de suivre les collaborateurs concorde avec le besoin de déléguer sans perdre le contrôle.</t>
        </is>
      </c>
      <c r="R45" s="31" t="inlineStr">
        <is>
          <t>La sécurisation de la délégation semble être un enjeu concret.</t>
        </is>
      </c>
      <c r="S45" s="31" t="inlineStr">
        <is>
          <t>Quel contrôle aimeriez-vous conserver lorsque d’autres personnes encaissent ?</t>
        </is>
      </c>
      <c r="T45" s="31">
        <f>IF(AND(OR(COUNTIF('Simulateur'!$D$10:$D$23,"Q9B")&gt;0,COUNTIF('Simulateur'!$D$10:$D$23,"Q9C")&gt;0),COUNTIF('Simulateur'!$D$10:$D$23,"Q14D")&gt;0),"Oui","")</f>
        <v/>
      </c>
      <c r="U45" s="31">
        <f>IF(T45="Oui",O45*1000-ROW(),0)</f>
        <v/>
      </c>
    </row>
  </sheetData>
  <mergeCells count="19">
    <mergeCell ref="A41:F41"/>
    <mergeCell ref="C28:F28"/>
    <mergeCell ref="A42:F42"/>
    <mergeCell ref="A25:B25"/>
    <mergeCell ref="A8:F8"/>
    <mergeCell ref="A17:F17"/>
    <mergeCell ref="A27:B27"/>
    <mergeCell ref="A43:F43"/>
    <mergeCell ref="A26:B26"/>
    <mergeCell ref="C26:F26"/>
    <mergeCell ref="A31:F31"/>
    <mergeCell ref="A40:F40"/>
    <mergeCell ref="C25:F25"/>
    <mergeCell ref="A30:F30"/>
    <mergeCell ref="A24:F24"/>
    <mergeCell ref="A2:F3"/>
    <mergeCell ref="A1:F1"/>
    <mergeCell ref="A28:B28"/>
    <mergeCell ref="C27:F27"/>
  </mergeCells>
  <conditionalFormatting sqref="C10:C15">
    <cfRule type="containsText" priority="1" operator="containsText" dxfId="0" text="Élevée"/>
    <cfRule type="containsText" priority="2" operator="containsText" dxfId="1" text="Modérée"/>
    <cfRule type="containsText" priority="3" operator="containsText" dxfId="2" text="Légère"/>
  </conditionalFormatting>
  <conditionalFormatting sqref="C33:C38">
    <cfRule type="containsText" priority="4" operator="containsText" dxfId="0" text="Élevée"/>
    <cfRule type="containsText" priority="5" operator="containsText" dxfId="1" text="Modérée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0"/>
  <sheetViews>
    <sheetView showGridLines="0" workbookViewId="0">
      <selection activeCell="A1" sqref="A1"/>
    </sheetView>
  </sheetViews>
  <sheetFormatPr baseColWidth="8" defaultRowHeight="15"/>
  <cols>
    <col width="6.440000057220459" customWidth="1" min="1" max="1"/>
    <col width="4.670000076293945" customWidth="1" min="2" max="2"/>
    <col width="30.55999946594238" customWidth="1" min="3" max="3"/>
    <col width="35.56000137329102" customWidth="1" min="4" max="4"/>
    <col width="8" customWidth="1" min="5" max="5"/>
    <col width="8" customWidth="1" min="6" max="6"/>
    <col width="8" customWidth="1" min="7" max="7"/>
    <col width="8" customWidth="1" min="8" max="8"/>
    <col width="18.32999992370605" customWidth="1" min="9" max="9"/>
    <col width="8.220000267028809" customWidth="1" min="10" max="10"/>
    <col width="8.220000267028809" customWidth="1" min="11" max="11"/>
    <col width="8.220000267028809" customWidth="1" min="12" max="12"/>
    <col width="16.11000061035156" customWidth="1" min="13" max="13"/>
    <col width="16.11000061035156" customWidth="1" min="14" max="14"/>
    <col width="16.11000061035156" customWidth="1" min="15" max="15"/>
    <col width="16.11000061035156" customWidth="1" min="16" max="16"/>
    <col width="30" customWidth="1" min="17" max="17"/>
  </cols>
  <sheetData>
    <row r="1" ht="31.5" customHeight="1">
      <c r="A1" s="3" t="inlineStr">
        <is>
          <t>Parcours Profil du dirigeant — matrice option par option</t>
        </is>
      </c>
    </row>
    <row r="2">
      <c r="A2" s="7" t="inlineStr">
        <is>
          <t>Lecture publique équilibrée sur 8 dimensions • Lecture interne FeexPay sur 8 indicateurs opérationnels • Les tags n’entrent pas dans le score de pilotage.</t>
        </is>
      </c>
    </row>
    <row r="3"/>
    <row r="4" ht="36" customHeight="1">
      <c r="A4" s="19" t="inlineStr">
        <is>
          <t>Code</t>
        </is>
      </c>
      <c r="B4" s="20" t="inlineStr">
        <is>
          <t>N°</t>
        </is>
      </c>
      <c r="C4" s="20" t="inlineStr">
        <is>
          <t>Question validée</t>
        </is>
      </c>
      <c r="D4" s="20" t="inlineStr">
        <is>
          <t>Option validée</t>
        </is>
      </c>
      <c r="E4" s="20" t="inlineStr">
        <is>
          <t>Dim. +2</t>
        </is>
      </c>
      <c r="F4" s="20" t="inlineStr">
        <is>
          <t>Pts</t>
        </is>
      </c>
      <c r="G4" s="20" t="inlineStr">
        <is>
          <t>Dim. +1</t>
        </is>
      </c>
      <c r="H4" s="20" t="inlineStr">
        <is>
          <t>Pts</t>
        </is>
      </c>
      <c r="I4" s="20" t="inlineStr">
        <is>
          <t>Dimension de qualification</t>
        </is>
      </c>
      <c r="J4" s="20" t="inlineStr">
        <is>
          <t>Points /3</t>
        </is>
      </c>
      <c r="K4" s="20" t="inlineStr">
        <is>
          <t>Poids</t>
        </is>
      </c>
      <c r="L4" s="20" t="inlineStr">
        <is>
          <t>Applicable</t>
        </is>
      </c>
      <c r="M4" s="20" t="inlineStr">
        <is>
          <t>Tag 1</t>
        </is>
      </c>
      <c r="N4" s="20" t="inlineStr">
        <is>
          <t>Valeur 1</t>
        </is>
      </c>
      <c r="O4" s="20" t="inlineStr">
        <is>
          <t>Tag 2</t>
        </is>
      </c>
      <c r="P4" s="20" t="inlineStr">
        <is>
          <t>Valeur 2</t>
        </is>
      </c>
      <c r="Q4" s="21" t="inlineStr">
        <is>
          <t>Justification</t>
        </is>
      </c>
    </row>
    <row r="5" ht="36" customHeight="1">
      <c r="A5" s="29" t="inlineStr">
        <is>
          <t>Q1A</t>
        </is>
      </c>
      <c r="B5" s="29" t="n">
        <v>1</v>
      </c>
      <c r="C5" s="29" t="inlineStr">
        <is>
          <t>Une nouvelle opportunité se présente. Qu’est-ce qui vous pousse le plus à avancer ?</t>
        </is>
      </c>
      <c r="D5" s="29" t="inlineStr">
        <is>
          <t>Je me projette d’abord sur ce qu’elle pourrait apporter à mon entreprise.</t>
        </is>
      </c>
      <c r="E5" s="29" t="inlineStr">
        <is>
          <t>VIS</t>
        </is>
      </c>
      <c r="F5" s="44" t="n">
        <v>2</v>
      </c>
      <c r="G5" s="44" t="inlineStr">
        <is>
          <t>AUD</t>
        </is>
      </c>
      <c r="H5" s="44" t="n">
        <v>1</v>
      </c>
      <c r="I5" s="29" t="str"/>
      <c r="J5" s="134" t="n"/>
      <c r="K5" s="134" t="n">
        <v>0</v>
      </c>
      <c r="L5" s="44" t="n">
        <v>0</v>
      </c>
      <c r="M5" s="29" t="inlineStr">
        <is>
          <t>Moteur de décision</t>
        </is>
      </c>
      <c r="N5" s="29" t="inlineStr">
        <is>
          <t>Projection</t>
        </is>
      </c>
      <c r="O5" s="29" t="str"/>
      <c r="P5" s="29" t="str"/>
      <c r="Q5" s="29" t="inlineStr">
        <is>
          <t>Lecture publique : VIS en dimension principale et AUD en nuance. Lecture interne : tag de qualification uniquement.</t>
        </is>
      </c>
    </row>
    <row r="6" ht="36" customHeight="1">
      <c r="A6" s="30" t="inlineStr">
        <is>
          <t>Q1B</t>
        </is>
      </c>
      <c r="B6" s="30" t="n">
        <v>1</v>
      </c>
      <c r="C6" s="30" t="inlineStr">
        <is>
          <t>Une nouvelle opportunité se présente. Qu’est-ce qui vous pousse le plus à avancer ?</t>
        </is>
      </c>
      <c r="D6" s="30" t="inlineStr">
        <is>
          <t>Je vérifie les chiffres avant de décider si elle mérite mon investissement.</t>
        </is>
      </c>
      <c r="E6" s="30" t="inlineStr">
        <is>
          <t>STR</t>
        </is>
      </c>
      <c r="F6" s="45" t="n">
        <v>2</v>
      </c>
      <c r="G6" s="45" t="inlineStr">
        <is>
          <t>AUD</t>
        </is>
      </c>
      <c r="H6" s="45" t="n">
        <v>1</v>
      </c>
      <c r="I6" s="30" t="str"/>
      <c r="J6" s="135" t="n"/>
      <c r="K6" s="135" t="n">
        <v>0</v>
      </c>
      <c r="L6" s="45" t="n">
        <v>0</v>
      </c>
      <c r="M6" s="30" t="inlineStr">
        <is>
          <t>Moteur de décision</t>
        </is>
      </c>
      <c r="N6" s="30" t="inlineStr">
        <is>
          <t>Chiffres</t>
        </is>
      </c>
      <c r="O6" s="30" t="str"/>
      <c r="P6" s="30" t="str"/>
      <c r="Q6" s="30" t="inlineStr">
        <is>
          <t>Lecture publique : STR en dimension principale et AUD en nuance. Lecture interne : tag de qualification uniquement.</t>
        </is>
      </c>
    </row>
    <row r="7" ht="36" customHeight="1">
      <c r="A7" s="30" t="inlineStr">
        <is>
          <t>Q1C</t>
        </is>
      </c>
      <c r="B7" s="30" t="n">
        <v>1</v>
      </c>
      <c r="C7" s="30" t="inlineStr">
        <is>
          <t>Une nouvelle opportunité se présente. Qu’est-ce qui vous pousse le plus à avancer ?</t>
        </is>
      </c>
      <c r="D7" s="30" t="inlineStr">
        <is>
          <t>J’observe si elle répond à une demande réelle de mes clients.</t>
        </is>
      </c>
      <c r="E7" s="30" t="inlineStr">
        <is>
          <t>INF</t>
        </is>
      </c>
      <c r="F7" s="45" t="n">
        <v>2</v>
      </c>
      <c r="G7" s="45" t="inlineStr">
        <is>
          <t>ADA</t>
        </is>
      </c>
      <c r="H7" s="45" t="n">
        <v>1</v>
      </c>
      <c r="I7" s="30" t="str"/>
      <c r="J7" s="135" t="n"/>
      <c r="K7" s="135" t="n">
        <v>0</v>
      </c>
      <c r="L7" s="45" t="n">
        <v>0</v>
      </c>
      <c r="M7" s="30" t="inlineStr">
        <is>
          <t>Moteur de décision</t>
        </is>
      </c>
      <c r="N7" s="30" t="inlineStr">
        <is>
          <t>Demande client</t>
        </is>
      </c>
      <c r="O7" s="30" t="str"/>
      <c r="P7" s="30" t="str"/>
      <c r="Q7" s="30" t="inlineStr">
        <is>
          <t>Lecture publique : INF en dimension principale et ADA en nuance. Lecture interne : tag de qualification uniquement.</t>
        </is>
      </c>
    </row>
    <row r="8" ht="36" customHeight="1">
      <c r="A8" s="30" t="inlineStr">
        <is>
          <t>Q1D</t>
        </is>
      </c>
      <c r="B8" s="30" t="n">
        <v>1</v>
      </c>
      <c r="C8" s="30" t="inlineStr">
        <is>
          <t>Une nouvelle opportunité se présente. Qu’est-ce qui vous pousse le plus à avancer ?</t>
        </is>
      </c>
      <c r="D8" s="30" t="inlineStr">
        <is>
          <t>Je préfère la tester à petite échelle avant de m’engager davantage.</t>
        </is>
      </c>
      <c r="E8" s="30" t="inlineStr">
        <is>
          <t>AUD</t>
        </is>
      </c>
      <c r="F8" s="45" t="n">
        <v>2</v>
      </c>
      <c r="G8" s="45" t="inlineStr">
        <is>
          <t>VIS</t>
        </is>
      </c>
      <c r="H8" s="45" t="n">
        <v>1</v>
      </c>
      <c r="I8" s="30" t="str"/>
      <c r="J8" s="135" t="n"/>
      <c r="K8" s="135" t="n">
        <v>0</v>
      </c>
      <c r="L8" s="45" t="n">
        <v>0</v>
      </c>
      <c r="M8" s="30" t="inlineStr">
        <is>
          <t>Moteur de décision</t>
        </is>
      </c>
      <c r="N8" s="30" t="inlineStr">
        <is>
          <t>Test limité</t>
        </is>
      </c>
      <c r="O8" s="30" t="str"/>
      <c r="P8" s="30" t="str"/>
      <c r="Q8" s="30" t="inlineStr">
        <is>
          <t>Lecture publique : AUD en dimension principale et VIS en nuance. Lecture interne : tag de qualification uniquement.</t>
        </is>
      </c>
    </row>
    <row r="9" ht="36" customHeight="1">
      <c r="A9" s="30" t="inlineStr">
        <is>
          <t>Q2A</t>
        </is>
      </c>
      <c r="B9" s="30" t="n">
        <v>2</v>
      </c>
      <c r="C9" s="30" t="inlineStr">
        <is>
          <t>Vos ventes augmentent brusquement. Quelle devient votre première priorité ?</t>
        </is>
      </c>
      <c r="D9" s="30" t="inlineStr">
        <is>
          <t>Je cherche d’abord à sécuriser les nouveaux encaissements.</t>
        </is>
      </c>
      <c r="E9" s="30" t="inlineStr">
        <is>
          <t>ORG</t>
        </is>
      </c>
      <c r="F9" s="45" t="n">
        <v>2</v>
      </c>
      <c r="G9" s="45" t="inlineStr">
        <is>
          <t>TRA</t>
        </is>
      </c>
      <c r="H9" s="45" t="n">
        <v>1</v>
      </c>
      <c r="I9" s="30" t="str"/>
      <c r="J9" s="135" t="n"/>
      <c r="K9" s="135" t="n">
        <v>0</v>
      </c>
      <c r="L9" s="45" t="n">
        <v>0</v>
      </c>
      <c r="M9" s="30" t="inlineStr">
        <is>
          <t>Priorité en croissance</t>
        </is>
      </c>
      <c r="N9" s="30" t="inlineStr">
        <is>
          <t>Sécuriser les encaissements</t>
        </is>
      </c>
      <c r="O9" s="30" t="str"/>
      <c r="P9" s="30" t="str"/>
      <c r="Q9" s="30" t="inlineStr">
        <is>
          <t>Lecture publique : ORG en dimension principale et TRA en nuance. Lecture interne : tag de qualification uniquement.</t>
        </is>
      </c>
    </row>
    <row r="10" ht="36" customHeight="1">
      <c r="A10" s="30" t="inlineStr">
        <is>
          <t>Q2B</t>
        </is>
      </c>
      <c r="B10" s="30" t="n">
        <v>2</v>
      </c>
      <c r="C10" s="30" t="inlineStr">
        <is>
          <t>Vos ventes augmentent brusquement. Quelle devient votre première priorité ?</t>
        </is>
      </c>
      <c r="D10" s="30" t="inlineStr">
        <is>
          <t>Je m’assure que mon organisation peut absorber cette augmentation.</t>
        </is>
      </c>
      <c r="E10" s="30" t="inlineStr">
        <is>
          <t>TRA</t>
        </is>
      </c>
      <c r="F10" s="45" t="n">
        <v>2</v>
      </c>
      <c r="G10" s="45" t="inlineStr">
        <is>
          <t>INF</t>
        </is>
      </c>
      <c r="H10" s="45" t="n">
        <v>1</v>
      </c>
      <c r="I10" s="30" t="str"/>
      <c r="J10" s="135" t="n"/>
      <c r="K10" s="135" t="n">
        <v>0</v>
      </c>
      <c r="L10" s="45" t="n">
        <v>0</v>
      </c>
      <c r="M10" s="30" t="inlineStr">
        <is>
          <t>Priorité en croissance</t>
        </is>
      </c>
      <c r="N10" s="30" t="inlineStr">
        <is>
          <t>Structurer les opérations</t>
        </is>
      </c>
      <c r="O10" s="30" t="str"/>
      <c r="P10" s="30" t="str"/>
      <c r="Q10" s="30" t="inlineStr">
        <is>
          <t>Lecture publique : TRA en dimension principale et INF en nuance. Lecture interne : tag de qualification uniquement.</t>
        </is>
      </c>
    </row>
    <row r="11" ht="36" customHeight="1">
      <c r="A11" s="30" t="inlineStr">
        <is>
          <t>Q2C</t>
        </is>
      </c>
      <c r="B11" s="30" t="n">
        <v>2</v>
      </c>
      <c r="C11" s="30" t="inlineStr">
        <is>
          <t>Vos ventes augmentent brusquement. Quelle devient votre première priorité ?</t>
        </is>
      </c>
      <c r="D11" s="30" t="inlineStr">
        <is>
          <t>Je veille surtout à maintenir une bonne expérience pour mes clients.</t>
        </is>
      </c>
      <c r="E11" s="30" t="inlineStr">
        <is>
          <t>INF</t>
        </is>
      </c>
      <c r="F11" s="45" t="n">
        <v>2</v>
      </c>
      <c r="G11" s="45" t="inlineStr">
        <is>
          <t>VIS</t>
        </is>
      </c>
      <c r="H11" s="45" t="n">
        <v>1</v>
      </c>
      <c r="I11" s="30" t="str"/>
      <c r="J11" s="135" t="n"/>
      <c r="K11" s="135" t="n">
        <v>0</v>
      </c>
      <c r="L11" s="45" t="n">
        <v>0</v>
      </c>
      <c r="M11" s="30" t="inlineStr">
        <is>
          <t>Priorité en croissance</t>
        </is>
      </c>
      <c r="N11" s="30" t="inlineStr">
        <is>
          <t>Préserver l’expérience client</t>
        </is>
      </c>
      <c r="O11" s="30" t="str"/>
      <c r="P11" s="30" t="str"/>
      <c r="Q11" s="30" t="inlineStr">
        <is>
          <t>Lecture publique : INF en dimension principale et VIS en nuance. Lecture interne : tag de qualification uniquement.</t>
        </is>
      </c>
    </row>
    <row r="12" ht="36" customHeight="1">
      <c r="A12" s="30" t="inlineStr">
        <is>
          <t>Q2D</t>
        </is>
      </c>
      <c r="B12" s="30" t="n">
        <v>2</v>
      </c>
      <c r="C12" s="30" t="inlineStr">
        <is>
          <t>Vos ventes augmentent brusquement. Quelle devient votre première priorité ?</t>
        </is>
      </c>
      <c r="D12" s="30" t="inlineStr">
        <is>
          <t>Je prépare immédiatement la prochaine étape de développement.</t>
        </is>
      </c>
      <c r="E12" s="30" t="inlineStr">
        <is>
          <t>VIS</t>
        </is>
      </c>
      <c r="F12" s="45" t="n">
        <v>2</v>
      </c>
      <c r="G12" s="45" t="inlineStr">
        <is>
          <t>AUD</t>
        </is>
      </c>
      <c r="H12" s="45" t="n">
        <v>1</v>
      </c>
      <c r="I12" s="30" t="str"/>
      <c r="J12" s="135" t="n"/>
      <c r="K12" s="135" t="n">
        <v>0</v>
      </c>
      <c r="L12" s="45" t="n">
        <v>0</v>
      </c>
      <c r="M12" s="30" t="inlineStr">
        <is>
          <t>Priorité en croissance</t>
        </is>
      </c>
      <c r="N12" s="30" t="inlineStr">
        <is>
          <t>Accélérer le développement</t>
        </is>
      </c>
      <c r="O12" s="30" t="str"/>
      <c r="P12" s="30" t="str"/>
      <c r="Q12" s="30" t="inlineStr">
        <is>
          <t>Lecture publique : VIS en dimension principale et AUD en nuance. Lecture interne : tag de qualification uniquement.</t>
        </is>
      </c>
    </row>
    <row r="13" ht="36" customHeight="1">
      <c r="A13" s="30" t="inlineStr">
        <is>
          <t>Q3A</t>
        </is>
      </c>
      <c r="B13" s="30" t="n">
        <v>3</v>
      </c>
      <c r="C13" s="30" t="inlineStr">
        <is>
          <t>Vous devez prendre une décision sans avoir toutes les informations. Que faites-vous ?</t>
        </is>
      </c>
      <c r="D13" s="30" t="inlineStr">
        <is>
          <t>Je m’appuie sur mon expérience pour choisir la direction qui me paraît juste.</t>
        </is>
      </c>
      <c r="E13" s="30" t="inlineStr">
        <is>
          <t>AUD</t>
        </is>
      </c>
      <c r="F13" s="45" t="n">
        <v>2</v>
      </c>
      <c r="G13" s="45" t="inlineStr">
        <is>
          <t>VIS</t>
        </is>
      </c>
      <c r="H13" s="45" t="n">
        <v>1</v>
      </c>
      <c r="I13" s="30" t="str"/>
      <c r="J13" s="135" t="n"/>
      <c r="K13" s="135" t="n">
        <v>0</v>
      </c>
      <c r="L13" s="45" t="n">
        <v>0</v>
      </c>
      <c r="M13" s="30" t="inlineStr">
        <is>
          <t>Style de décision</t>
        </is>
      </c>
      <c r="N13" s="30" t="inlineStr">
        <is>
          <t>Expérience</t>
        </is>
      </c>
      <c r="O13" s="30" t="str"/>
      <c r="P13" s="30" t="str"/>
      <c r="Q13" s="30" t="inlineStr">
        <is>
          <t>Lecture publique : AUD en dimension principale et VIS en nuance. Lecture interne : tag de qualification uniquement.</t>
        </is>
      </c>
    </row>
    <row r="14" ht="36" customHeight="1">
      <c r="A14" s="30" t="inlineStr">
        <is>
          <t>Q3B</t>
        </is>
      </c>
      <c r="B14" s="30" t="n">
        <v>3</v>
      </c>
      <c r="C14" s="30" t="inlineStr">
        <is>
          <t>Vous devez prendre une décision sans avoir toutes les informations. Que faites-vous ?</t>
        </is>
      </c>
      <c r="D14" s="30" t="inlineStr">
        <is>
          <t>Je préfère attendre d’avoir des données plus fiables avant de me prononcer.</t>
        </is>
      </c>
      <c r="E14" s="30" t="inlineStr">
        <is>
          <t>STR</t>
        </is>
      </c>
      <c r="F14" s="45" t="n">
        <v>2</v>
      </c>
      <c r="G14" s="45" t="inlineStr">
        <is>
          <t>ORG</t>
        </is>
      </c>
      <c r="H14" s="45" t="n">
        <v>1</v>
      </c>
      <c r="I14" s="30" t="str"/>
      <c r="J14" s="135" t="n"/>
      <c r="K14" s="135" t="n">
        <v>0</v>
      </c>
      <c r="L14" s="45" t="n">
        <v>0</v>
      </c>
      <c r="M14" s="30" t="inlineStr">
        <is>
          <t>Style de décision</t>
        </is>
      </c>
      <c r="N14" s="30" t="inlineStr">
        <is>
          <t>Données</t>
        </is>
      </c>
      <c r="O14" s="30" t="str"/>
      <c r="P14" s="30" t="str"/>
      <c r="Q14" s="30" t="inlineStr">
        <is>
          <t>Lecture publique : STR en dimension principale et ORG en nuance. Lecture interne : tag de qualification uniquement.</t>
        </is>
      </c>
    </row>
    <row r="15" ht="36" customHeight="1">
      <c r="A15" s="30" t="inlineStr">
        <is>
          <t>Q3C</t>
        </is>
      </c>
      <c r="B15" s="30" t="n">
        <v>3</v>
      </c>
      <c r="C15" s="30" t="inlineStr">
        <is>
          <t>Vous devez prendre une décision sans avoir toutes les informations. Que faites-vous ?</t>
        </is>
      </c>
      <c r="D15" s="30" t="inlineStr">
        <is>
          <t>Je demande l’avis de personnes capables de compléter ma lecture.</t>
        </is>
      </c>
      <c r="E15" s="30" t="inlineStr">
        <is>
          <t>INF</t>
        </is>
      </c>
      <c r="F15" s="45" t="n">
        <v>2</v>
      </c>
      <c r="G15" s="45" t="inlineStr">
        <is>
          <t>STR</t>
        </is>
      </c>
      <c r="H15" s="45" t="n">
        <v>1</v>
      </c>
      <c r="I15" s="30" t="str"/>
      <c r="J15" s="135" t="n"/>
      <c r="K15" s="135" t="n">
        <v>0</v>
      </c>
      <c r="L15" s="45" t="n">
        <v>0</v>
      </c>
      <c r="M15" s="30" t="inlineStr">
        <is>
          <t>Style de décision</t>
        </is>
      </c>
      <c r="N15" s="30" t="inlineStr">
        <is>
          <t>Consultation</t>
        </is>
      </c>
      <c r="O15" s="30" t="str"/>
      <c r="P15" s="30" t="str"/>
      <c r="Q15" s="30" t="inlineStr">
        <is>
          <t>Lecture publique : INF en dimension principale et STR en nuance. Lecture interne : tag de qualification uniquement.</t>
        </is>
      </c>
    </row>
    <row r="16" ht="36" customHeight="1">
      <c r="A16" s="30" t="inlineStr">
        <is>
          <t>Q3D</t>
        </is>
      </c>
      <c r="B16" s="30" t="n">
        <v>3</v>
      </c>
      <c r="C16" s="30" t="inlineStr">
        <is>
          <t>Vous devez prendre une décision sans avoir toutes les informations. Que faites-vous ?</t>
        </is>
      </c>
      <c r="D16" s="30" t="inlineStr">
        <is>
          <t>Je lance un test limité pour observer ce qui fonctionne réellement.</t>
        </is>
      </c>
      <c r="E16" s="30" t="inlineStr">
        <is>
          <t>AUD</t>
        </is>
      </c>
      <c r="F16" s="45" t="n">
        <v>2</v>
      </c>
      <c r="G16" s="45" t="inlineStr">
        <is>
          <t>EXE</t>
        </is>
      </c>
      <c r="H16" s="45" t="n">
        <v>1</v>
      </c>
      <c r="I16" s="30" t="str"/>
      <c r="J16" s="135" t="n"/>
      <c r="K16" s="135" t="n">
        <v>0</v>
      </c>
      <c r="L16" s="45" t="n">
        <v>0</v>
      </c>
      <c r="M16" s="30" t="inlineStr">
        <is>
          <t>Style de décision</t>
        </is>
      </c>
      <c r="N16" s="30" t="inlineStr">
        <is>
          <t>Expérimentation</t>
        </is>
      </c>
      <c r="O16" s="30" t="str"/>
      <c r="P16" s="30" t="str"/>
      <c r="Q16" s="30" t="inlineStr">
        <is>
          <t>Lecture publique : AUD en dimension principale et EXE en nuance. Lecture interne : tag de qualification uniquement.</t>
        </is>
      </c>
    </row>
    <row r="17" ht="36" customHeight="1">
      <c r="A17" s="30" t="inlineStr">
        <is>
          <t>Q4A</t>
        </is>
      </c>
      <c r="B17" s="30" t="n">
        <v>4</v>
      </c>
      <c r="C17" s="30" t="inlineStr">
        <is>
          <t>Comment suivez-vous généralement les ventes réalisées au cours d’une semaine ?</t>
        </is>
      </c>
      <c r="D17" s="30" t="inlineStr">
        <is>
          <t>Je consulte régulièrement un outil qui centralise toutes mes ventes.</t>
        </is>
      </c>
      <c r="E17" s="30" t="inlineStr">
        <is>
          <t>TRA</t>
        </is>
      </c>
      <c r="F17" s="45" t="n">
        <v>2</v>
      </c>
      <c r="G17" s="45" t="inlineStr">
        <is>
          <t>STR</t>
        </is>
      </c>
      <c r="H17" s="45" t="n">
        <v>1</v>
      </c>
      <c r="I17" s="30" t="inlineStr">
        <is>
          <t>Suivi des ventes</t>
        </is>
      </c>
      <c r="J17" s="135" t="n">
        <v>3</v>
      </c>
      <c r="K17" s="135" t="n">
        <v>10</v>
      </c>
      <c r="L17" s="45" t="n">
        <v>1</v>
      </c>
      <c r="M17" s="30" t="inlineStr">
        <is>
          <t>Mode opérationnel</t>
        </is>
      </c>
      <c r="N17" s="30" t="inlineStr">
        <is>
          <t>Outil centralisé</t>
        </is>
      </c>
      <c r="O17" s="30" t="str"/>
      <c r="P17" s="30" t="str"/>
      <c r="Q17" s="30" t="inlineStr">
        <is>
          <t>Lecture publique : TRA en dimension principale et STR en nuance. Lecture interne : Suivi des ventes.</t>
        </is>
      </c>
    </row>
    <row r="18" ht="36" customHeight="1">
      <c r="A18" s="30" t="inlineStr">
        <is>
          <t>Q4B</t>
        </is>
      </c>
      <c r="B18" s="30" t="n">
        <v>4</v>
      </c>
      <c r="C18" s="30" t="inlineStr">
        <is>
          <t>Comment suivez-vous généralement les ventes réalisées au cours d’une semaine ?</t>
        </is>
      </c>
      <c r="D18" s="30" t="inlineStr">
        <is>
          <t>Je note les ventes dans un fichier ou un cahier lorsque j’en ai le temps.</t>
        </is>
      </c>
      <c r="E18" s="30" t="inlineStr">
        <is>
          <t>EXE</t>
        </is>
      </c>
      <c r="F18" s="45" t="n">
        <v>2</v>
      </c>
      <c r="G18" s="45" t="inlineStr">
        <is>
          <t>ORG</t>
        </is>
      </c>
      <c r="H18" s="45" t="n">
        <v>1</v>
      </c>
      <c r="I18" s="30" t="inlineStr">
        <is>
          <t>Suivi des ventes</t>
        </is>
      </c>
      <c r="J18" s="135" t="n">
        <v>2</v>
      </c>
      <c r="K18" s="135" t="n">
        <v>10</v>
      </c>
      <c r="L18" s="45" t="n">
        <v>1</v>
      </c>
      <c r="M18" s="30" t="inlineStr">
        <is>
          <t>Mode opérationnel</t>
        </is>
      </c>
      <c r="N18" s="30" t="inlineStr">
        <is>
          <t>Fichier ou cahier irrégulier</t>
        </is>
      </c>
      <c r="O18" s="30" t="str"/>
      <c r="P18" s="30" t="str"/>
      <c r="Q18" s="30" t="inlineStr">
        <is>
          <t>Lecture publique : EXE en dimension principale et ORG en nuance. Lecture interne : Suivi des ventes.</t>
        </is>
      </c>
    </row>
    <row r="19" ht="36" customHeight="1">
      <c r="A19" s="30" t="inlineStr">
        <is>
          <t>Q4C</t>
        </is>
      </c>
      <c r="B19" s="30" t="n">
        <v>4</v>
      </c>
      <c r="C19" s="30" t="inlineStr">
        <is>
          <t>Comment suivez-vous généralement les ventes réalisées au cours d’une semaine ?</t>
        </is>
      </c>
      <c r="D19" s="30" t="inlineStr">
        <is>
          <t>Je reconstitue les ventes à partir des messages et des paiements reçus.</t>
        </is>
      </c>
      <c r="E19" s="30" t="inlineStr">
        <is>
          <t>ADA</t>
        </is>
      </c>
      <c r="F19" s="45" t="n">
        <v>2</v>
      </c>
      <c r="G19" s="45" t="inlineStr">
        <is>
          <t>EXE</t>
        </is>
      </c>
      <c r="H19" s="45" t="n">
        <v>1</v>
      </c>
      <c r="I19" s="30" t="inlineStr">
        <is>
          <t>Suivi des ventes</t>
        </is>
      </c>
      <c r="J19" s="135" t="n">
        <v>1</v>
      </c>
      <c r="K19" s="135" t="n">
        <v>10</v>
      </c>
      <c r="L19" s="45" t="n">
        <v>1</v>
      </c>
      <c r="M19" s="30" t="inlineStr">
        <is>
          <t>Mode opérationnel</t>
        </is>
      </c>
      <c r="N19" s="30" t="inlineStr">
        <is>
          <t>Reconstitution manuelle</t>
        </is>
      </c>
      <c r="O19" s="30" t="str"/>
      <c r="P19" s="30" t="str"/>
      <c r="Q19" s="30" t="inlineStr">
        <is>
          <t>Lecture publique : ADA en dimension principale et EXE en nuance. Lecture interne : Suivi des ventes.</t>
        </is>
      </c>
    </row>
    <row r="20" ht="36" customHeight="1">
      <c r="A20" s="30" t="inlineStr">
        <is>
          <t>Q4D</t>
        </is>
      </c>
      <c r="B20" s="30" t="n">
        <v>4</v>
      </c>
      <c r="C20" s="30" t="inlineStr">
        <is>
          <t>Comment suivez-vous généralement les ventes réalisées au cours d’une semaine ?</t>
        </is>
      </c>
      <c r="D20" s="30" t="inlineStr">
        <is>
          <t>Je me fie surtout à ce que j’ai vendu et à l’argent encore disponible.</t>
        </is>
      </c>
      <c r="E20" s="30" t="inlineStr">
        <is>
          <t>AUD</t>
        </is>
      </c>
      <c r="F20" s="45" t="n">
        <v>2</v>
      </c>
      <c r="G20" s="45" t="inlineStr">
        <is>
          <t>ADA</t>
        </is>
      </c>
      <c r="H20" s="45" t="n">
        <v>1</v>
      </c>
      <c r="I20" s="30" t="inlineStr">
        <is>
          <t>Suivi des ventes</t>
        </is>
      </c>
      <c r="J20" s="135" t="n">
        <v>0</v>
      </c>
      <c r="K20" s="135" t="n">
        <v>10</v>
      </c>
      <c r="L20" s="45" t="n">
        <v>1</v>
      </c>
      <c r="M20" s="30" t="inlineStr">
        <is>
          <t>Mode opérationnel</t>
        </is>
      </c>
      <c r="N20" s="30" t="inlineStr">
        <is>
          <t>Estimation informelle</t>
        </is>
      </c>
      <c r="O20" s="30" t="str"/>
      <c r="P20" s="30" t="str"/>
      <c r="Q20" s="30" t="inlineStr">
        <is>
          <t>Lecture publique : AUD en dimension principale et ADA en nuance. Lecture interne : Suivi des ventes.</t>
        </is>
      </c>
    </row>
    <row r="21" ht="36" customHeight="1">
      <c r="A21" s="30" t="inlineStr">
        <is>
          <t>Q5A</t>
        </is>
      </c>
      <c r="B21" s="30" t="n">
        <v>5</v>
      </c>
      <c r="C21" s="30" t="inlineStr">
        <is>
          <t>Le montant encaissé ne correspond pas aux ventes réalisées. Quel est votre premier réflexe ?</t>
        </is>
      </c>
      <c r="D21" s="30" t="inlineStr">
        <is>
          <t>Je consulte l’historique des transactions pour retrouver l’origine de l’écart.</t>
        </is>
      </c>
      <c r="E21" s="30" t="inlineStr">
        <is>
          <t>STR</t>
        </is>
      </c>
      <c r="F21" s="45" t="n">
        <v>2</v>
      </c>
      <c r="G21" s="45" t="inlineStr">
        <is>
          <t>TRA</t>
        </is>
      </c>
      <c r="H21" s="45" t="n">
        <v>1</v>
      </c>
      <c r="I21" s="30" t="inlineStr">
        <is>
          <t>Gestion des écarts</t>
        </is>
      </c>
      <c r="J21" s="135" t="n">
        <v>3</v>
      </c>
      <c r="K21" s="135" t="n">
        <v>15</v>
      </c>
      <c r="L21" s="45" t="n">
        <v>1</v>
      </c>
      <c r="M21" s="30" t="inlineStr">
        <is>
          <t>Mode opérationnel</t>
        </is>
      </c>
      <c r="N21" s="30" t="inlineStr">
        <is>
          <t>Historique transactionnel</t>
        </is>
      </c>
      <c r="O21" s="30" t="str"/>
      <c r="P21" s="30" t="str"/>
      <c r="Q21" s="30" t="inlineStr">
        <is>
          <t>Lecture publique : STR en dimension principale et TRA en nuance. Lecture interne : Gestion des écarts.</t>
        </is>
      </c>
    </row>
    <row r="22" ht="36" customHeight="1">
      <c r="A22" s="30" t="inlineStr">
        <is>
          <t>Q5B</t>
        </is>
      </c>
      <c r="B22" s="30" t="n">
        <v>5</v>
      </c>
      <c r="C22" s="30" t="inlineStr">
        <is>
          <t>Le montant encaissé ne correspond pas aux ventes réalisées. Quel est votre premier réflexe ?</t>
        </is>
      </c>
      <c r="D22" s="30" t="inlineStr">
        <is>
          <t>Je reprends mon registre de ventes pour identifier ce qui manque.</t>
        </is>
      </c>
      <c r="E22" s="30" t="inlineStr">
        <is>
          <t>ORG</t>
        </is>
      </c>
      <c r="F22" s="45" t="n">
        <v>2</v>
      </c>
      <c r="G22" s="45" t="inlineStr">
        <is>
          <t>EXE</t>
        </is>
      </c>
      <c r="H22" s="45" t="n">
        <v>1</v>
      </c>
      <c r="I22" s="30" t="inlineStr">
        <is>
          <t>Gestion des écarts</t>
        </is>
      </c>
      <c r="J22" s="135" t="n">
        <v>2</v>
      </c>
      <c r="K22" s="135" t="n">
        <v>15</v>
      </c>
      <c r="L22" s="45" t="n">
        <v>1</v>
      </c>
      <c r="M22" s="30" t="inlineStr">
        <is>
          <t>Mode opérationnel</t>
        </is>
      </c>
      <c r="N22" s="30" t="inlineStr">
        <is>
          <t>Registre de ventes</t>
        </is>
      </c>
      <c r="O22" s="30" t="str"/>
      <c r="P22" s="30" t="str"/>
      <c r="Q22" s="30" t="inlineStr">
        <is>
          <t>Lecture publique : ORG en dimension principale et EXE en nuance. Lecture interne : Gestion des écarts.</t>
        </is>
      </c>
    </row>
    <row r="23" ht="36" customHeight="1">
      <c r="A23" s="30" t="inlineStr">
        <is>
          <t>Q5C</t>
        </is>
      </c>
      <c r="B23" s="30" t="n">
        <v>5</v>
      </c>
      <c r="C23" s="30" t="inlineStr">
        <is>
          <t>Le montant encaissé ne correspond pas aux ventes réalisées. Quel est votre premier réflexe ?</t>
        </is>
      </c>
      <c r="D23" s="30" t="inlineStr">
        <is>
          <t>Je demande des explications aux personnes qui ont encaissé.</t>
        </is>
      </c>
      <c r="E23" s="30" t="inlineStr">
        <is>
          <t>INF</t>
        </is>
      </c>
      <c r="F23" s="45" t="n">
        <v>2</v>
      </c>
      <c r="G23" s="45" t="inlineStr">
        <is>
          <t>EXE</t>
        </is>
      </c>
      <c r="H23" s="45" t="n">
        <v>1</v>
      </c>
      <c r="I23" s="30" t="inlineStr">
        <is>
          <t>Gestion des écarts</t>
        </is>
      </c>
      <c r="J23" s="135" t="n">
        <v>1</v>
      </c>
      <c r="K23" s="135" t="n">
        <v>15</v>
      </c>
      <c r="L23" s="45" t="n">
        <v>1</v>
      </c>
      <c r="M23" s="30" t="inlineStr">
        <is>
          <t>Mode opérationnel</t>
        </is>
      </c>
      <c r="N23" s="30" t="inlineStr">
        <is>
          <t>Explication de l’équipe</t>
        </is>
      </c>
      <c r="O23" s="30" t="str"/>
      <c r="P23" s="30" t="str"/>
      <c r="Q23" s="30" t="inlineStr">
        <is>
          <t>Lecture publique : INF en dimension principale et EXE en nuance. Lecture interne : Gestion des écarts.</t>
        </is>
      </c>
    </row>
    <row r="24" ht="36" customHeight="1">
      <c r="A24" s="30" t="inlineStr">
        <is>
          <t>Q5D</t>
        </is>
      </c>
      <c r="B24" s="30" t="n">
        <v>5</v>
      </c>
      <c r="C24" s="30" t="inlineStr">
        <is>
          <t>Le montant encaissé ne correspond pas aux ventes réalisées. Quel est votre premier réflexe ?</t>
        </is>
      </c>
      <c r="D24" s="30" t="inlineStr">
        <is>
          <t>Je n’ai pas toujours les éléments nécessaires pour expliquer immédiatement l’écart.</t>
        </is>
      </c>
      <c r="E24" s="30" t="inlineStr">
        <is>
          <t>ADA</t>
        </is>
      </c>
      <c r="F24" s="45" t="n">
        <v>2</v>
      </c>
      <c r="G24" s="45" t="inlineStr">
        <is>
          <t>AUD</t>
        </is>
      </c>
      <c r="H24" s="45" t="n">
        <v>1</v>
      </c>
      <c r="I24" s="30" t="inlineStr">
        <is>
          <t>Gestion des écarts</t>
        </is>
      </c>
      <c r="J24" s="135" t="n">
        <v>0</v>
      </c>
      <c r="K24" s="135" t="n">
        <v>15</v>
      </c>
      <c r="L24" s="45" t="n">
        <v>1</v>
      </c>
      <c r="M24" s="30" t="inlineStr">
        <is>
          <t>Mode opérationnel</t>
        </is>
      </c>
      <c r="N24" s="30" t="inlineStr">
        <is>
          <t>Écart difficile à expliquer</t>
        </is>
      </c>
      <c r="O24" s="30" t="str"/>
      <c r="P24" s="30" t="str"/>
      <c r="Q24" s="30" t="inlineStr">
        <is>
          <t>Lecture publique : ADA en dimension principale et AUD en nuance. Lecture interne : Gestion des écarts.</t>
        </is>
      </c>
    </row>
    <row r="25" ht="36" customHeight="1">
      <c r="A25" s="30" t="inlineStr">
        <is>
          <t>Q6A</t>
        </is>
      </c>
      <c r="B25" s="30" t="n">
        <v>6</v>
      </c>
      <c r="C25" s="30" t="inlineStr">
        <is>
          <t>Vos clients utilisent plusieurs moyens de paiement. Comment gardez-vous une vue d’ensemble ?</t>
        </is>
      </c>
      <c r="D25" s="30" t="inlineStr">
        <is>
          <t>Je consulte un tableau de bord qui regroupe tous les paiements reçus.</t>
        </is>
      </c>
      <c r="E25" s="30" t="inlineStr">
        <is>
          <t>TRA</t>
        </is>
      </c>
      <c r="F25" s="45" t="n">
        <v>2</v>
      </c>
      <c r="G25" s="45" t="inlineStr">
        <is>
          <t>STR</t>
        </is>
      </c>
      <c r="H25" s="45" t="n">
        <v>1</v>
      </c>
      <c r="I25" s="30" t="inlineStr">
        <is>
          <t>Centralisation des paiements</t>
        </is>
      </c>
      <c r="J25" s="135" t="n">
        <v>3</v>
      </c>
      <c r="K25" s="135" t="n">
        <v>15</v>
      </c>
      <c r="L25" s="45" t="n">
        <v>1</v>
      </c>
      <c r="M25" s="30" t="inlineStr">
        <is>
          <t>Mode opérationnel</t>
        </is>
      </c>
      <c r="N25" s="30" t="inlineStr">
        <is>
          <t>Tableau de bord unique</t>
        </is>
      </c>
      <c r="O25" s="30" t="str"/>
      <c r="P25" s="30" t="str"/>
      <c r="Q25" s="30" t="inlineStr">
        <is>
          <t>Lecture publique : TRA en dimension principale et STR en nuance. Lecture interne : Centralisation des paiements.</t>
        </is>
      </c>
    </row>
    <row r="26" ht="36" customHeight="1">
      <c r="A26" s="30" t="inlineStr">
        <is>
          <t>Q6B</t>
        </is>
      </c>
      <c r="B26" s="30" t="n">
        <v>6</v>
      </c>
      <c r="C26" s="30" t="inlineStr">
        <is>
          <t>Vos clients utilisent plusieurs moyens de paiement. Comment gardez-vous une vue d’ensemble ?</t>
        </is>
      </c>
      <c r="D26" s="30" t="inlineStr">
        <is>
          <t>Je vérifie séparément le solde de chaque moyen de paiement.</t>
        </is>
      </c>
      <c r="E26" s="30" t="inlineStr">
        <is>
          <t>STR</t>
        </is>
      </c>
      <c r="F26" s="45" t="n">
        <v>2</v>
      </c>
      <c r="G26" s="45" t="inlineStr">
        <is>
          <t>ORG</t>
        </is>
      </c>
      <c r="H26" s="45" t="n">
        <v>1</v>
      </c>
      <c r="I26" s="30" t="inlineStr">
        <is>
          <t>Centralisation des paiements</t>
        </is>
      </c>
      <c r="J26" s="135" t="n">
        <v>2</v>
      </c>
      <c r="K26" s="135" t="n">
        <v>15</v>
      </c>
      <c r="L26" s="45" t="n">
        <v>1</v>
      </c>
      <c r="M26" s="30" t="inlineStr">
        <is>
          <t>Mode opérationnel</t>
        </is>
      </c>
      <c r="N26" s="30" t="inlineStr">
        <is>
          <t>Consultation séparée</t>
        </is>
      </c>
      <c r="O26" s="30" t="str"/>
      <c r="P26" s="30" t="str"/>
      <c r="Q26" s="30" t="inlineStr">
        <is>
          <t>Lecture publique : STR en dimension principale et ORG en nuance. Lecture interne : Centralisation des paiements.</t>
        </is>
      </c>
    </row>
    <row r="27" ht="36" customHeight="1">
      <c r="A27" s="30" t="inlineStr">
        <is>
          <t>Q6C</t>
        </is>
      </c>
      <c r="B27" s="30" t="n">
        <v>6</v>
      </c>
      <c r="C27" s="30" t="inlineStr">
        <is>
          <t>Vos clients utilisent plusieurs moyens de paiement. Comment gardez-vous une vue d’ensemble ?</t>
        </is>
      </c>
      <c r="D27" s="30" t="inlineStr">
        <is>
          <t>Je regroupe manuellement les différents montants à certains moments.</t>
        </is>
      </c>
      <c r="E27" s="30" t="inlineStr">
        <is>
          <t>EXE</t>
        </is>
      </c>
      <c r="F27" s="45" t="n">
        <v>2</v>
      </c>
      <c r="G27" s="45" t="inlineStr">
        <is>
          <t>ADA</t>
        </is>
      </c>
      <c r="H27" s="45" t="n">
        <v>1</v>
      </c>
      <c r="I27" s="30" t="inlineStr">
        <is>
          <t>Centralisation des paiements</t>
        </is>
      </c>
      <c r="J27" s="135" t="n">
        <v>1</v>
      </c>
      <c r="K27" s="135" t="n">
        <v>15</v>
      </c>
      <c r="L27" s="45" t="n">
        <v>1</v>
      </c>
      <c r="M27" s="30" t="inlineStr">
        <is>
          <t>Mode opérationnel</t>
        </is>
      </c>
      <c r="N27" s="30" t="inlineStr">
        <is>
          <t>Consolidation manuelle</t>
        </is>
      </c>
      <c r="O27" s="30" t="str"/>
      <c r="P27" s="30" t="str"/>
      <c r="Q27" s="30" t="inlineStr">
        <is>
          <t>Lecture publique : EXE en dimension principale et ADA en nuance. Lecture interne : Centralisation des paiements.</t>
        </is>
      </c>
    </row>
    <row r="28" ht="36" customHeight="1">
      <c r="A28" s="30" t="inlineStr">
        <is>
          <t>Q6D</t>
        </is>
      </c>
      <c r="B28" s="30" t="n">
        <v>6</v>
      </c>
      <c r="C28" s="30" t="inlineStr">
        <is>
          <t>Vos clients utilisent plusieurs moyens de paiement. Comment gardez-vous une vue d’ensemble ?</t>
        </is>
      </c>
      <c r="D28" s="30" t="inlineStr">
        <is>
          <t>Je me base principalement sur les notifications reçues au fil des paiements.</t>
        </is>
      </c>
      <c r="E28" s="30" t="inlineStr">
        <is>
          <t>ADA</t>
        </is>
      </c>
      <c r="F28" s="45" t="n">
        <v>2</v>
      </c>
      <c r="G28" s="45" t="inlineStr">
        <is>
          <t>AUD</t>
        </is>
      </c>
      <c r="H28" s="45" t="n">
        <v>1</v>
      </c>
      <c r="I28" s="30" t="inlineStr">
        <is>
          <t>Centralisation des paiements</t>
        </is>
      </c>
      <c r="J28" s="135" t="n">
        <v>0</v>
      </c>
      <c r="K28" s="135" t="n">
        <v>15</v>
      </c>
      <c r="L28" s="45" t="n">
        <v>1</v>
      </c>
      <c r="M28" s="30" t="inlineStr">
        <is>
          <t>Mode opérationnel</t>
        </is>
      </c>
      <c r="N28" s="30" t="inlineStr">
        <is>
          <t>Suivi par notifications</t>
        </is>
      </c>
      <c r="O28" s="30" t="str"/>
      <c r="P28" s="30" t="str"/>
      <c r="Q28" s="30" t="inlineStr">
        <is>
          <t>Lecture publique : ADA en dimension principale et AUD en nuance. Lecture interne : Centralisation des paiements.</t>
        </is>
      </c>
    </row>
    <row r="29" ht="36" customHeight="1">
      <c r="A29" s="30" t="inlineStr">
        <is>
          <t>Q7A</t>
        </is>
      </c>
      <c r="B29" s="30" t="n">
        <v>7</v>
      </c>
      <c r="C29" s="30" t="inlineStr">
        <is>
          <t>À quel moment savez-vous réellement ce que votre entreprise peut dépenser ?</t>
        </is>
      </c>
      <c r="D29" s="30" t="inlineStr">
        <is>
          <t>Je peux consulter ma trésorerie disponible à tout moment.</t>
        </is>
      </c>
      <c r="E29" s="30" t="inlineStr">
        <is>
          <t>STR</t>
        </is>
      </c>
      <c r="F29" s="45" t="n">
        <v>2</v>
      </c>
      <c r="G29" s="45" t="inlineStr">
        <is>
          <t>VIS</t>
        </is>
      </c>
      <c r="H29" s="45" t="n">
        <v>1</v>
      </c>
      <c r="I29" s="30" t="inlineStr">
        <is>
          <t>Visibilité sur la trésorerie</t>
        </is>
      </c>
      <c r="J29" s="135" t="n">
        <v>3</v>
      </c>
      <c r="K29" s="135" t="n">
        <v>15</v>
      </c>
      <c r="L29" s="45" t="n">
        <v>1</v>
      </c>
      <c r="M29" s="30" t="inlineStr">
        <is>
          <t>Mode opérationnel</t>
        </is>
      </c>
      <c r="N29" s="30" t="inlineStr">
        <is>
          <t>Temps réel</t>
        </is>
      </c>
      <c r="O29" s="30" t="str"/>
      <c r="P29" s="30" t="str"/>
      <c r="Q29" s="30" t="inlineStr">
        <is>
          <t>Lecture publique : STR en dimension principale et VIS en nuance. Lecture interne : Visibilité sur la trésorerie.</t>
        </is>
      </c>
    </row>
    <row r="30" ht="36" customHeight="1">
      <c r="A30" s="30" t="inlineStr">
        <is>
          <t>Q7B</t>
        </is>
      </c>
      <c r="B30" s="30" t="n">
        <v>7</v>
      </c>
      <c r="C30" s="30" t="inlineStr">
        <is>
          <t>À quel moment savez-vous réellement ce que votre entreprise peut dépenser ?</t>
        </is>
      </c>
      <c r="D30" s="30" t="inlineStr">
        <is>
          <t>Je le sais après avoir fait un point périodique sur mes entrées et mes sorties.</t>
        </is>
      </c>
      <c r="E30" s="30" t="inlineStr">
        <is>
          <t>ORG</t>
        </is>
      </c>
      <c r="F30" s="45" t="n">
        <v>2</v>
      </c>
      <c r="G30" s="45" t="inlineStr">
        <is>
          <t>STR</t>
        </is>
      </c>
      <c r="H30" s="45" t="n">
        <v>1</v>
      </c>
      <c r="I30" s="30" t="inlineStr">
        <is>
          <t>Visibilité sur la trésorerie</t>
        </is>
      </c>
      <c r="J30" s="135" t="n">
        <v>2</v>
      </c>
      <c r="K30" s="135" t="n">
        <v>15</v>
      </c>
      <c r="L30" s="45" t="n">
        <v>1</v>
      </c>
      <c r="M30" s="30" t="inlineStr">
        <is>
          <t>Mode opérationnel</t>
        </is>
      </c>
      <c r="N30" s="30" t="inlineStr">
        <is>
          <t>Point périodique</t>
        </is>
      </c>
      <c r="O30" s="30" t="str"/>
      <c r="P30" s="30" t="str"/>
      <c r="Q30" s="30" t="inlineStr">
        <is>
          <t>Lecture publique : ORG en dimension principale et STR en nuance. Lecture interne : Visibilité sur la trésorerie.</t>
        </is>
      </c>
    </row>
    <row r="31" ht="36" customHeight="1">
      <c r="A31" s="30" t="inlineStr">
        <is>
          <t>Q7C</t>
        </is>
      </c>
      <c r="B31" s="30" t="n">
        <v>7</v>
      </c>
      <c r="C31" s="30" t="inlineStr">
        <is>
          <t>À quel moment savez-vous réellement ce que votre entreprise peut dépenser ?</t>
        </is>
      </c>
      <c r="D31" s="30" t="inlineStr">
        <is>
          <t>Je me fie au solde visible sur mes comptes au moment de décider.</t>
        </is>
      </c>
      <c r="E31" s="30" t="inlineStr">
        <is>
          <t>AUD</t>
        </is>
      </c>
      <c r="F31" s="45" t="n">
        <v>2</v>
      </c>
      <c r="G31" s="45" t="inlineStr">
        <is>
          <t>ADA</t>
        </is>
      </c>
      <c r="H31" s="45" t="n">
        <v>1</v>
      </c>
      <c r="I31" s="30" t="inlineStr">
        <is>
          <t>Visibilité sur la trésorerie</t>
        </is>
      </c>
      <c r="J31" s="135" t="n">
        <v>1</v>
      </c>
      <c r="K31" s="135" t="n">
        <v>15</v>
      </c>
      <c r="L31" s="45" t="n">
        <v>1</v>
      </c>
      <c r="M31" s="30" t="inlineStr">
        <is>
          <t>Mode opérationnel</t>
        </is>
      </c>
      <c r="N31" s="30" t="inlineStr">
        <is>
          <t>Solde instantané</t>
        </is>
      </c>
      <c r="O31" s="30" t="str"/>
      <c r="P31" s="30" t="str"/>
      <c r="Q31" s="30" t="inlineStr">
        <is>
          <t>Lecture publique : AUD en dimension principale et ADA en nuance. Lecture interne : Visibilité sur la trésorerie.</t>
        </is>
      </c>
    </row>
    <row r="32" ht="36" customHeight="1">
      <c r="A32" s="30" t="inlineStr">
        <is>
          <t>Q7D</t>
        </is>
      </c>
      <c r="B32" s="30" t="n">
        <v>7</v>
      </c>
      <c r="C32" s="30" t="inlineStr">
        <is>
          <t>À quel moment savez-vous réellement ce que votre entreprise peut dépenser ?</t>
        </is>
      </c>
      <c r="D32" s="30" t="inlineStr">
        <is>
          <t>Je le découvre surtout lorsqu’une dépense importante doit être réglée.</t>
        </is>
      </c>
      <c r="E32" s="30" t="inlineStr">
        <is>
          <t>AUD</t>
        </is>
      </c>
      <c r="F32" s="45" t="n">
        <v>2</v>
      </c>
      <c r="G32" s="45" t="inlineStr">
        <is>
          <t>EXE</t>
        </is>
      </c>
      <c r="H32" s="45" t="n">
        <v>1</v>
      </c>
      <c r="I32" s="30" t="inlineStr">
        <is>
          <t>Visibilité sur la trésorerie</t>
        </is>
      </c>
      <c r="J32" s="135" t="n">
        <v>0</v>
      </c>
      <c r="K32" s="135" t="n">
        <v>15</v>
      </c>
      <c r="L32" s="45" t="n">
        <v>1</v>
      </c>
      <c r="M32" s="30" t="inlineStr">
        <is>
          <t>Mode opérationnel</t>
        </is>
      </c>
      <c r="N32" s="30" t="inlineStr">
        <is>
          <t>Découverte à l’échéance</t>
        </is>
      </c>
      <c r="O32" s="30" t="str"/>
      <c r="P32" s="30" t="str"/>
      <c r="Q32" s="30" t="inlineStr">
        <is>
          <t>Lecture publique : AUD en dimension principale et EXE en nuance. Lecture interne : Visibilité sur la trésorerie.</t>
        </is>
      </c>
    </row>
    <row r="33" ht="36" customHeight="1">
      <c r="A33" s="30" t="inlineStr">
        <is>
          <t>Q8A</t>
        </is>
      </c>
      <c r="B33" s="30" t="n">
        <v>8</v>
      </c>
      <c r="C33" s="30" t="inlineStr">
        <is>
          <t>Lorsque vient le moment de faire la comptabilité, dans quel état se trouvent vos informations ?</t>
        </is>
      </c>
      <c r="D33" s="30" t="inlineStr">
        <is>
          <t>Mes opérations sont déjà enregistrées et peuvent être consultées rapidement.</t>
        </is>
      </c>
      <c r="E33" s="30" t="inlineStr">
        <is>
          <t>TRA</t>
        </is>
      </c>
      <c r="F33" s="45" t="n">
        <v>2</v>
      </c>
      <c r="G33" s="45" t="inlineStr">
        <is>
          <t>VIS</t>
        </is>
      </c>
      <c r="H33" s="45" t="n">
        <v>1</v>
      </c>
      <c r="I33" s="30" t="inlineStr">
        <is>
          <t>Préparation comptable</t>
        </is>
      </c>
      <c r="J33" s="135" t="n">
        <v>3</v>
      </c>
      <c r="K33" s="135" t="n">
        <v>10</v>
      </c>
      <c r="L33" s="45" t="n">
        <v>1</v>
      </c>
      <c r="M33" s="30" t="inlineStr">
        <is>
          <t>Mode opérationnel</t>
        </is>
      </c>
      <c r="N33" s="30" t="inlineStr">
        <is>
          <t>Opérations à jour</t>
        </is>
      </c>
      <c r="O33" s="30" t="str"/>
      <c r="P33" s="30" t="str"/>
      <c r="Q33" s="30" t="inlineStr">
        <is>
          <t>Lecture publique : TRA en dimension principale et VIS en nuance. Lecture interne : Préparation comptable.</t>
        </is>
      </c>
    </row>
    <row r="34" ht="36" customHeight="1">
      <c r="A34" s="30" t="inlineStr">
        <is>
          <t>Q8B</t>
        </is>
      </c>
      <c r="B34" s="30" t="n">
        <v>8</v>
      </c>
      <c r="C34" s="30" t="inlineStr">
        <is>
          <t>Lorsque vient le moment de faire la comptabilité, dans quel état se trouvent vos informations ?</t>
        </is>
      </c>
      <c r="D34" s="30" t="inlineStr">
        <is>
          <t>Mes justificatifs sont conservés, mais je dois encore les organiser.</t>
        </is>
      </c>
      <c r="E34" s="30" t="inlineStr">
        <is>
          <t>EXE</t>
        </is>
      </c>
      <c r="F34" s="45" t="n">
        <v>2</v>
      </c>
      <c r="G34" s="45" t="inlineStr">
        <is>
          <t>ORG</t>
        </is>
      </c>
      <c r="H34" s="45" t="n">
        <v>1</v>
      </c>
      <c r="I34" s="30" t="inlineStr">
        <is>
          <t>Préparation comptable</t>
        </is>
      </c>
      <c r="J34" s="135" t="n">
        <v>2</v>
      </c>
      <c r="K34" s="135" t="n">
        <v>10</v>
      </c>
      <c r="L34" s="45" t="n">
        <v>1</v>
      </c>
      <c r="M34" s="30" t="inlineStr">
        <is>
          <t>Mode opérationnel</t>
        </is>
      </c>
      <c r="N34" s="30" t="inlineStr">
        <is>
          <t>Justificatifs à organiser</t>
        </is>
      </c>
      <c r="O34" s="30" t="str"/>
      <c r="P34" s="30" t="str"/>
      <c r="Q34" s="30" t="inlineStr">
        <is>
          <t>Lecture publique : EXE en dimension principale et ORG en nuance. Lecture interne : Préparation comptable.</t>
        </is>
      </c>
    </row>
    <row r="35" ht="36" customHeight="1">
      <c r="A35" s="30" t="inlineStr">
        <is>
          <t>Q8C</t>
        </is>
      </c>
      <c r="B35" s="30" t="n">
        <v>8</v>
      </c>
      <c r="C35" s="30" t="inlineStr">
        <is>
          <t>Lorsque vient le moment de faire la comptabilité, dans quel état se trouvent vos informations ?</t>
        </is>
      </c>
      <c r="D35" s="30" t="inlineStr">
        <is>
          <t>Je rassemble les informations nécessaires à l’approche de l’échéance.</t>
        </is>
      </c>
      <c r="E35" s="30" t="inlineStr">
        <is>
          <t>ADA</t>
        </is>
      </c>
      <c r="F35" s="45" t="n">
        <v>2</v>
      </c>
      <c r="G35" s="45" t="inlineStr">
        <is>
          <t>EXE</t>
        </is>
      </c>
      <c r="H35" s="45" t="n">
        <v>1</v>
      </c>
      <c r="I35" s="30" t="inlineStr">
        <is>
          <t>Préparation comptable</t>
        </is>
      </c>
      <c r="J35" s="135" t="n">
        <v>1</v>
      </c>
      <c r="K35" s="135" t="n">
        <v>10</v>
      </c>
      <c r="L35" s="45" t="n">
        <v>1</v>
      </c>
      <c r="M35" s="30" t="inlineStr">
        <is>
          <t>Mode opérationnel</t>
        </is>
      </c>
      <c r="N35" s="30" t="inlineStr">
        <is>
          <t>Collecte à l’échéance</t>
        </is>
      </c>
      <c r="O35" s="30" t="str"/>
      <c r="P35" s="30" t="str"/>
      <c r="Q35" s="30" t="inlineStr">
        <is>
          <t>Lecture publique : ADA en dimension principale et EXE en nuance. Lecture interne : Préparation comptable.</t>
        </is>
      </c>
    </row>
    <row r="36" ht="36" customHeight="1">
      <c r="A36" s="30" t="inlineStr">
        <is>
          <t>Q8D</t>
        </is>
      </c>
      <c r="B36" s="30" t="n">
        <v>8</v>
      </c>
      <c r="C36" s="30" t="inlineStr">
        <is>
          <t>Lorsque vient le moment de faire la comptabilité, dans quel état se trouvent vos informations ?</t>
        </is>
      </c>
      <c r="D36" s="30" t="inlineStr">
        <is>
          <t>Je dois souvent reconstituer certaines opérations après leur réalisation.</t>
        </is>
      </c>
      <c r="E36" s="30" t="inlineStr">
        <is>
          <t>ADA</t>
        </is>
      </c>
      <c r="F36" s="45" t="n">
        <v>2</v>
      </c>
      <c r="G36" s="45" t="inlineStr">
        <is>
          <t>AUD</t>
        </is>
      </c>
      <c r="H36" s="45" t="n">
        <v>1</v>
      </c>
      <c r="I36" s="30" t="inlineStr">
        <is>
          <t>Préparation comptable</t>
        </is>
      </c>
      <c r="J36" s="135" t="n">
        <v>0</v>
      </c>
      <c r="K36" s="135" t="n">
        <v>10</v>
      </c>
      <c r="L36" s="45" t="n">
        <v>1</v>
      </c>
      <c r="M36" s="30" t="inlineStr">
        <is>
          <t>Mode opérationnel</t>
        </is>
      </c>
      <c r="N36" s="30" t="inlineStr">
        <is>
          <t>Reconstitution après coup</t>
        </is>
      </c>
      <c r="O36" s="30" t="str"/>
      <c r="P36" s="30" t="str"/>
      <c r="Q36" s="30" t="inlineStr">
        <is>
          <t>Lecture publique : ADA en dimension principale et AUD en nuance. Lecture interne : Préparation comptable.</t>
        </is>
      </c>
    </row>
    <row r="37" ht="36" customHeight="1">
      <c r="A37" s="30" t="inlineStr">
        <is>
          <t>Q9A</t>
        </is>
      </c>
      <c r="B37" s="30" t="n">
        <v>9</v>
      </c>
      <c r="C37" s="30" t="inlineStr">
        <is>
          <t>Lorsque d’autres personnes encaissent pour votre entreprise, comment suivez-vous leur activité ?</t>
        </is>
      </c>
      <c r="D37" s="30" t="inlineStr">
        <is>
          <t>Chaque encaissement peut être rattaché à une vente et à la personne concernée.</t>
        </is>
      </c>
      <c r="E37" s="30" t="inlineStr">
        <is>
          <t>ORG</t>
        </is>
      </c>
      <c r="F37" s="45" t="n">
        <v>2</v>
      </c>
      <c r="G37" s="45" t="inlineStr">
        <is>
          <t>INF</t>
        </is>
      </c>
      <c r="H37" s="45" t="n">
        <v>1</v>
      </c>
      <c r="I37" s="30" t="inlineStr">
        <is>
          <t>Contrôle des encaissements délégués</t>
        </is>
      </c>
      <c r="J37" s="135" t="n">
        <v>3</v>
      </c>
      <c r="K37" s="135" t="n">
        <v>10</v>
      </c>
      <c r="L37" s="45" t="n">
        <v>1</v>
      </c>
      <c r="M37" s="30" t="inlineStr">
        <is>
          <t>Mode opérationnel</t>
        </is>
      </c>
      <c r="N37" s="30" t="inlineStr">
        <is>
          <t>Traçabilité par personne</t>
        </is>
      </c>
      <c r="O37" s="30" t="inlineStr">
        <is>
          <t>Configuration d’encaissement</t>
        </is>
      </c>
      <c r="P37" s="30" t="inlineStr">
        <is>
          <t>Équipe</t>
        </is>
      </c>
      <c r="Q37" s="30" t="inlineStr">
        <is>
          <t>Lecture publique : ORG en dimension principale et INF en nuance. Lecture interne : Contrôle des encaissements délégués.</t>
        </is>
      </c>
    </row>
    <row r="38" ht="36" customHeight="1">
      <c r="A38" s="30" t="inlineStr">
        <is>
          <t>Q9B</t>
        </is>
      </c>
      <c r="B38" s="30" t="n">
        <v>9</v>
      </c>
      <c r="C38" s="30" t="inlineStr">
        <is>
          <t>Lorsque d’autres personnes encaissent pour votre entreprise, comment suivez-vous leur activité ?</t>
        </is>
      </c>
      <c r="D38" s="30" t="inlineStr">
        <is>
          <t>Les personnes concernées enregistrent leurs encaissements dans un support commun.</t>
        </is>
      </c>
      <c r="E38" s="30" t="inlineStr">
        <is>
          <t>EXE</t>
        </is>
      </c>
      <c r="F38" s="45" t="n">
        <v>2</v>
      </c>
      <c r="G38" s="45" t="inlineStr">
        <is>
          <t>INF</t>
        </is>
      </c>
      <c r="H38" s="45" t="n">
        <v>1</v>
      </c>
      <c r="I38" s="30" t="inlineStr">
        <is>
          <t>Contrôle des encaissements délégués</t>
        </is>
      </c>
      <c r="J38" s="135" t="n">
        <v>2</v>
      </c>
      <c r="K38" s="135" t="n">
        <v>10</v>
      </c>
      <c r="L38" s="45" t="n">
        <v>1</v>
      </c>
      <c r="M38" s="30" t="inlineStr">
        <is>
          <t>Mode opérationnel</t>
        </is>
      </c>
      <c r="N38" s="30" t="inlineStr">
        <is>
          <t>Support commun</t>
        </is>
      </c>
      <c r="O38" s="30" t="inlineStr">
        <is>
          <t>Configuration d’encaissement</t>
        </is>
      </c>
      <c r="P38" s="30" t="inlineStr">
        <is>
          <t>Équipe</t>
        </is>
      </c>
      <c r="Q38" s="30" t="inlineStr">
        <is>
          <t>Lecture publique : EXE en dimension principale et INF en nuance. Lecture interne : Contrôle des encaissements délégués.</t>
        </is>
      </c>
    </row>
    <row r="39" ht="36" customHeight="1">
      <c r="A39" s="30" t="inlineStr">
        <is>
          <t>Q9C</t>
        </is>
      </c>
      <c r="B39" s="30" t="n">
        <v>9</v>
      </c>
      <c r="C39" s="30" t="inlineStr">
        <is>
          <t>Lorsque d’autres personnes encaissent pour votre entreprise, comment suivez-vous leur activité ?</t>
        </is>
      </c>
      <c r="D39" s="30" t="inlineStr">
        <is>
          <t>Je reçois principalement un point oral ou un montant global en fin de journée.</t>
        </is>
      </c>
      <c r="E39" s="30" t="inlineStr">
        <is>
          <t>INF</t>
        </is>
      </c>
      <c r="F39" s="45" t="n">
        <v>2</v>
      </c>
      <c r="G39" s="45" t="inlineStr">
        <is>
          <t>ADA</t>
        </is>
      </c>
      <c r="H39" s="45" t="n">
        <v>1</v>
      </c>
      <c r="I39" s="30" t="inlineStr">
        <is>
          <t>Contrôle des encaissements délégués</t>
        </is>
      </c>
      <c r="J39" s="135" t="n">
        <v>1</v>
      </c>
      <c r="K39" s="135" t="n">
        <v>10</v>
      </c>
      <c r="L39" s="45" t="n">
        <v>1</v>
      </c>
      <c r="M39" s="30" t="inlineStr">
        <is>
          <t>Mode opérationnel</t>
        </is>
      </c>
      <c r="N39" s="30" t="inlineStr">
        <is>
          <t>Point oral ou global</t>
        </is>
      </c>
      <c r="O39" s="30" t="inlineStr">
        <is>
          <t>Configuration d’encaissement</t>
        </is>
      </c>
      <c r="P39" s="30" t="inlineStr">
        <is>
          <t>Équipe</t>
        </is>
      </c>
      <c r="Q39" s="30" t="inlineStr">
        <is>
          <t>Lecture publique : INF en dimension principale et ADA en nuance. Lecture interne : Contrôle des encaissements délégués.</t>
        </is>
      </c>
    </row>
    <row r="40" ht="36" customHeight="1">
      <c r="A40" s="30" t="inlineStr">
        <is>
          <t>Q9D</t>
        </is>
      </c>
      <c r="B40" s="30" t="n">
        <v>9</v>
      </c>
      <c r="C40" s="30" t="inlineStr">
        <is>
          <t>Lorsque d’autres personnes encaissent pour votre entreprise, comment suivez-vous leur activité ?</t>
        </is>
      </c>
      <c r="D40" s="30" t="inlineStr">
        <is>
          <t>Pour le moment, je suis la seule personne à encaisser dans mon entreprise.</t>
        </is>
      </c>
      <c r="E40" s="30" t="inlineStr">
        <is>
          <t>AUD</t>
        </is>
      </c>
      <c r="F40" s="45" t="n">
        <v>2</v>
      </c>
      <c r="G40" s="45" t="inlineStr">
        <is>
          <t>EXE</t>
        </is>
      </c>
      <c r="H40" s="45" t="n">
        <v>1</v>
      </c>
      <c r="I40" s="30" t="inlineStr">
        <is>
          <t>Contrôle des encaissements délégués</t>
        </is>
      </c>
      <c r="J40" s="135" t="n"/>
      <c r="K40" s="135" t="n">
        <v>10</v>
      </c>
      <c r="L40" s="45" t="n">
        <v>0</v>
      </c>
      <c r="M40" s="30" t="inlineStr">
        <is>
          <t>Mode opérationnel</t>
        </is>
      </c>
      <c r="N40" s="30" t="inlineStr">
        <is>
          <t>Encaissement en solo</t>
        </is>
      </c>
      <c r="O40" s="30" t="inlineStr">
        <is>
          <t>Configuration d’encaissement</t>
        </is>
      </c>
      <c r="P40" s="30" t="inlineStr">
        <is>
          <t>Solo</t>
        </is>
      </c>
      <c r="Q40" s="30" t="inlineStr">
        <is>
          <t>Lecture publique : AUD en dimension principale et EXE en nuance. Lecture interne : Contrôle des encaissements délégués.</t>
        </is>
      </c>
    </row>
    <row r="41" ht="36" customHeight="1">
      <c r="A41" s="30" t="inlineStr">
        <is>
          <t>Q10A</t>
        </is>
      </c>
      <c r="B41" s="30" t="n">
        <v>10</v>
      </c>
      <c r="C41" s="30" t="inlineStr">
        <is>
          <t>Lorsqu’un client souhaite vous payer à distance, comment procédez-vous généralement ?</t>
        </is>
      </c>
      <c r="D41" s="30" t="inlineStr">
        <is>
          <t>Je lui transmets un lien ou une page de paiement prévue à cet effet.</t>
        </is>
      </c>
      <c r="E41" s="30" t="inlineStr">
        <is>
          <t>TRA</t>
        </is>
      </c>
      <c r="F41" s="45" t="n">
        <v>2</v>
      </c>
      <c r="G41" s="45" t="inlineStr">
        <is>
          <t>INF</t>
        </is>
      </c>
      <c r="H41" s="45" t="n">
        <v>1</v>
      </c>
      <c r="I41" s="30" t="inlineStr">
        <is>
          <t>Paiement à distance</t>
        </is>
      </c>
      <c r="J41" s="135" t="n">
        <v>3</v>
      </c>
      <c r="K41" s="135" t="n">
        <v>10</v>
      </c>
      <c r="L41" s="45" t="n">
        <v>1</v>
      </c>
      <c r="M41" s="30" t="inlineStr">
        <is>
          <t>Mode opérationnel</t>
        </is>
      </c>
      <c r="N41" s="30" t="inlineStr">
        <is>
          <t>Lien ou page de paiement</t>
        </is>
      </c>
      <c r="O41" s="30" t="str"/>
      <c r="P41" s="30" t="str"/>
      <c r="Q41" s="30" t="inlineStr">
        <is>
          <t>Lecture publique : TRA en dimension principale et INF en nuance. Lecture interne : Paiement à distance.</t>
        </is>
      </c>
    </row>
    <row r="42" ht="36" customHeight="1">
      <c r="A42" s="30" t="inlineStr">
        <is>
          <t>Q10B</t>
        </is>
      </c>
      <c r="B42" s="30" t="n">
        <v>10</v>
      </c>
      <c r="C42" s="30" t="inlineStr">
        <is>
          <t>Lorsqu’un client souhaite vous payer à distance, comment procédez-vous généralement ?</t>
        </is>
      </c>
      <c r="D42" s="30" t="inlineStr">
        <is>
          <t>Je lui communique un numéro après avoir échangé avec lui.</t>
        </is>
      </c>
      <c r="E42" s="30" t="inlineStr">
        <is>
          <t>ADA</t>
        </is>
      </c>
      <c r="F42" s="45" t="n">
        <v>2</v>
      </c>
      <c r="G42" s="45" t="inlineStr">
        <is>
          <t>INF</t>
        </is>
      </c>
      <c r="H42" s="45" t="n">
        <v>1</v>
      </c>
      <c r="I42" s="30" t="inlineStr">
        <is>
          <t>Paiement à distance</t>
        </is>
      </c>
      <c r="J42" s="135" t="n">
        <v>2</v>
      </c>
      <c r="K42" s="135" t="n">
        <v>10</v>
      </c>
      <c r="L42" s="45" t="n">
        <v>1</v>
      </c>
      <c r="M42" s="30" t="inlineStr">
        <is>
          <t>Mode opérationnel</t>
        </is>
      </c>
      <c r="N42" s="30" t="inlineStr">
        <is>
          <t>Numéro communiqué</t>
        </is>
      </c>
      <c r="O42" s="30" t="str"/>
      <c r="P42" s="30" t="str"/>
      <c r="Q42" s="30" t="inlineStr">
        <is>
          <t>Lecture publique : ADA en dimension principale et INF en nuance. Lecture interne : Paiement à distance.</t>
        </is>
      </c>
    </row>
    <row r="43" ht="36" customHeight="1">
      <c r="A43" s="30" t="inlineStr">
        <is>
          <t>Q10C</t>
        </is>
      </c>
      <c r="B43" s="30" t="n">
        <v>10</v>
      </c>
      <c r="C43" s="30" t="inlineStr">
        <is>
          <t>Lorsqu’un client souhaite vous payer à distance, comment procédez-vous généralement ?</t>
        </is>
      </c>
      <c r="D43" s="30" t="inlineStr">
        <is>
          <t>Je privilégie encore le paiement à la livraison ou lors d’une rencontre.</t>
        </is>
      </c>
      <c r="E43" s="30" t="inlineStr">
        <is>
          <t>ORG</t>
        </is>
      </c>
      <c r="F43" s="45" t="n">
        <v>2</v>
      </c>
      <c r="G43" s="45" t="inlineStr">
        <is>
          <t>ADA</t>
        </is>
      </c>
      <c r="H43" s="45" t="n">
        <v>1</v>
      </c>
      <c r="I43" s="30" t="inlineStr">
        <is>
          <t>Paiement à distance</t>
        </is>
      </c>
      <c r="J43" s="135" t="n">
        <v>1</v>
      </c>
      <c r="K43" s="135" t="n">
        <v>10</v>
      </c>
      <c r="L43" s="45" t="n">
        <v>1</v>
      </c>
      <c r="M43" s="30" t="inlineStr">
        <is>
          <t>Mode opérationnel</t>
        </is>
      </c>
      <c r="N43" s="30" t="inlineStr">
        <is>
          <t>Paiement à la livraison</t>
        </is>
      </c>
      <c r="O43" s="30" t="str"/>
      <c r="P43" s="30" t="str"/>
      <c r="Q43" s="30" t="inlineStr">
        <is>
          <t>Lecture publique : ORG en dimension principale et ADA en nuance. Lecture interne : Paiement à distance.</t>
        </is>
      </c>
    </row>
    <row r="44" ht="36" customHeight="1">
      <c r="A44" s="30" t="inlineStr">
        <is>
          <t>Q10D</t>
        </is>
      </c>
      <c r="B44" s="30" t="n">
        <v>10</v>
      </c>
      <c r="C44" s="30" t="inlineStr">
        <is>
          <t>Lorsqu’un client souhaite vous payer à distance, comment procédez-vous généralement ?</t>
        </is>
      </c>
      <c r="D44" s="30" t="inlineStr">
        <is>
          <t>Je ne propose pas encore de moyen de paiement à distance.</t>
        </is>
      </c>
      <c r="E44" s="30" t="inlineStr">
        <is>
          <t>ORG</t>
        </is>
      </c>
      <c r="F44" s="45" t="n">
        <v>2</v>
      </c>
      <c r="G44" s="45" t="inlineStr">
        <is>
          <t>TRA</t>
        </is>
      </c>
      <c r="H44" s="45" t="n">
        <v>1</v>
      </c>
      <c r="I44" s="30" t="inlineStr">
        <is>
          <t>Paiement à distance</t>
        </is>
      </c>
      <c r="J44" s="135" t="n">
        <v>0</v>
      </c>
      <c r="K44" s="135" t="n">
        <v>10</v>
      </c>
      <c r="L44" s="45" t="n">
        <v>1</v>
      </c>
      <c r="M44" s="30" t="inlineStr">
        <is>
          <t>Mode opérationnel</t>
        </is>
      </c>
      <c r="N44" s="30" t="inlineStr">
        <is>
          <t>Aucune solution à distance</t>
        </is>
      </c>
      <c r="O44" s="30" t="str"/>
      <c r="P44" s="30" t="str"/>
      <c r="Q44" s="30" t="inlineStr">
        <is>
          <t>Lecture publique : ORG en dimension principale et TRA en nuance. Lecture interne : Paiement à distance.</t>
        </is>
      </c>
    </row>
    <row r="45" ht="36" customHeight="1">
      <c r="A45" s="30" t="inlineStr">
        <is>
          <t>Q11A</t>
        </is>
      </c>
      <c r="B45" s="30" t="n">
        <v>11</v>
      </c>
      <c r="C45" s="30" t="inlineStr">
        <is>
          <t>Quelle place le digital occupe-t-il actuellement dans vos ventes ?</t>
        </is>
      </c>
      <c r="D45" s="30" t="inlineStr">
        <is>
          <t>Mon site permet aux clients de commander et de payer directement.</t>
        </is>
      </c>
      <c r="E45" s="30" t="inlineStr">
        <is>
          <t>VIS</t>
        </is>
      </c>
      <c r="F45" s="45" t="n">
        <v>2</v>
      </c>
      <c r="G45" s="45" t="inlineStr">
        <is>
          <t>TRA</t>
        </is>
      </c>
      <c r="H45" s="45" t="n">
        <v>1</v>
      </c>
      <c r="I45" s="30" t="str"/>
      <c r="J45" s="135" t="n"/>
      <c r="K45" s="135" t="n">
        <v>0</v>
      </c>
      <c r="L45" s="45" t="n">
        <v>0</v>
      </c>
      <c r="M45" s="30" t="inlineStr">
        <is>
          <t>Canal de vente</t>
        </is>
      </c>
      <c r="N45" s="30" t="inlineStr">
        <is>
          <t>E-commerce intégré</t>
        </is>
      </c>
      <c r="O45" s="30" t="inlineStr">
        <is>
          <t>Niveau digital</t>
        </is>
      </c>
      <c r="P45" s="30" t="inlineStr">
        <is>
          <t>Transactionnel</t>
        </is>
      </c>
      <c r="Q45" s="30" t="inlineStr">
        <is>
          <t>Lecture publique : VIS en dimension principale et TRA en nuance. Lecture interne : tag de qualification uniquement.</t>
        </is>
      </c>
    </row>
    <row r="46" ht="36" customHeight="1">
      <c r="A46" s="30" t="inlineStr">
        <is>
          <t>Q11B</t>
        </is>
      </c>
      <c r="B46" s="30" t="n">
        <v>11</v>
      </c>
      <c r="C46" s="30" t="inlineStr">
        <is>
          <t>Quelle place le digital occupe-t-il actuellement dans vos ventes ?</t>
        </is>
      </c>
      <c r="D46" s="30" t="inlineStr">
        <is>
          <t>Mon site présente mes offres, mais les commandes se finalisent ailleurs.</t>
        </is>
      </c>
      <c r="E46" s="30" t="inlineStr">
        <is>
          <t>TRA</t>
        </is>
      </c>
      <c r="F46" s="45" t="n">
        <v>2</v>
      </c>
      <c r="G46" s="45" t="inlineStr">
        <is>
          <t>VIS</t>
        </is>
      </c>
      <c r="H46" s="45" t="n">
        <v>1</v>
      </c>
      <c r="I46" s="30" t="str"/>
      <c r="J46" s="135" t="n"/>
      <c r="K46" s="135" t="n">
        <v>0</v>
      </c>
      <c r="L46" s="45" t="n">
        <v>0</v>
      </c>
      <c r="M46" s="30" t="inlineStr">
        <is>
          <t>Canal de vente</t>
        </is>
      </c>
      <c r="N46" s="30" t="inlineStr">
        <is>
          <t>Site vitrine</t>
        </is>
      </c>
      <c r="O46" s="30" t="inlineStr">
        <is>
          <t>Niveau digital</t>
        </is>
      </c>
      <c r="P46" s="30" t="inlineStr">
        <is>
          <t>Non transactionnel</t>
        </is>
      </c>
      <c r="Q46" s="30" t="inlineStr">
        <is>
          <t>Lecture publique : TRA en dimension principale et VIS en nuance. Lecture interne : tag de qualification uniquement.</t>
        </is>
      </c>
    </row>
    <row r="47" ht="36" customHeight="1">
      <c r="A47" s="30" t="inlineStr">
        <is>
          <t>Q11C</t>
        </is>
      </c>
      <c r="B47" s="30" t="n">
        <v>11</v>
      </c>
      <c r="C47" s="30" t="inlineStr">
        <is>
          <t>Quelle place le digital occupe-t-il actuellement dans vos ventes ?</t>
        </is>
      </c>
      <c r="D47" s="30" t="inlineStr">
        <is>
          <t>Je vends principalement à travers les réseaux sociaux et les messageries.</t>
        </is>
      </c>
      <c r="E47" s="30" t="inlineStr">
        <is>
          <t>ADA</t>
        </is>
      </c>
      <c r="F47" s="45" t="n">
        <v>2</v>
      </c>
      <c r="G47" s="45" t="inlineStr">
        <is>
          <t>INF</t>
        </is>
      </c>
      <c r="H47" s="45" t="n">
        <v>1</v>
      </c>
      <c r="I47" s="30" t="str"/>
      <c r="J47" s="135" t="n"/>
      <c r="K47" s="135" t="n">
        <v>0</v>
      </c>
      <c r="L47" s="45" t="n">
        <v>0</v>
      </c>
      <c r="M47" s="30" t="inlineStr">
        <is>
          <t>Canal de vente</t>
        </is>
      </c>
      <c r="N47" s="30" t="inlineStr">
        <is>
          <t>Social commerce</t>
        </is>
      </c>
      <c r="O47" s="30" t="inlineStr">
        <is>
          <t>Niveau digital</t>
        </is>
      </c>
      <c r="P47" s="30" t="inlineStr">
        <is>
          <t>Conversationnel</t>
        </is>
      </c>
      <c r="Q47" s="30" t="inlineStr">
        <is>
          <t>Lecture publique : ADA en dimension principale et INF en nuance. Lecture interne : tag de qualification uniquement.</t>
        </is>
      </c>
    </row>
    <row r="48" ht="36" customHeight="1">
      <c r="A48" s="30" t="inlineStr">
        <is>
          <t>Q11D</t>
        </is>
      </c>
      <c r="B48" s="30" t="n">
        <v>11</v>
      </c>
      <c r="C48" s="30" t="inlineStr">
        <is>
          <t>Quelle place le digital occupe-t-il actuellement dans vos ventes ?</t>
        </is>
      </c>
      <c r="D48" s="30" t="inlineStr">
        <is>
          <t>Mes ventes se font encore essentiellement en présentiel.</t>
        </is>
      </c>
      <c r="E48" s="30" t="inlineStr">
        <is>
          <t>EXE</t>
        </is>
      </c>
      <c r="F48" s="45" t="n">
        <v>2</v>
      </c>
      <c r="G48" s="45" t="inlineStr">
        <is>
          <t>ORG</t>
        </is>
      </c>
      <c r="H48" s="45" t="n">
        <v>1</v>
      </c>
      <c r="I48" s="30" t="str"/>
      <c r="J48" s="135" t="n"/>
      <c r="K48" s="135" t="n">
        <v>0</v>
      </c>
      <c r="L48" s="45" t="n">
        <v>0</v>
      </c>
      <c r="M48" s="30" t="inlineStr">
        <is>
          <t>Canal de vente</t>
        </is>
      </c>
      <c r="N48" s="30" t="inlineStr">
        <is>
          <t>Présentiel</t>
        </is>
      </c>
      <c r="O48" s="30" t="inlineStr">
        <is>
          <t>Niveau digital</t>
        </is>
      </c>
      <c r="P48" s="30" t="inlineStr">
        <is>
          <t>Physique</t>
        </is>
      </c>
      <c r="Q48" s="30" t="inlineStr">
        <is>
          <t>Lecture publique : EXE en dimension principale et ORG en nuance. Lecture interne : tag de qualification uniquement.</t>
        </is>
      </c>
    </row>
    <row r="49" ht="36" customHeight="1">
      <c r="A49" s="30" t="inlineStr">
        <is>
          <t>Q12A</t>
        </is>
      </c>
      <c r="B49" s="30" t="n">
        <v>12</v>
      </c>
      <c r="C49" s="30" t="inlineStr">
        <is>
          <t>Un client affirme avoir payé, mais vous ne retrouvez pas immédiatement son paiement. Que faites-vous ?</t>
        </is>
      </c>
      <c r="D49" s="30" t="inlineStr">
        <is>
          <t>Je recherche la transaction à partir de sa référence.</t>
        </is>
      </c>
      <c r="E49" s="30" t="inlineStr">
        <is>
          <t>STR</t>
        </is>
      </c>
      <c r="F49" s="45" t="n">
        <v>2</v>
      </c>
      <c r="G49" s="45" t="inlineStr">
        <is>
          <t>TRA</t>
        </is>
      </c>
      <c r="H49" s="45" t="n">
        <v>1</v>
      </c>
      <c r="I49" s="30" t="inlineStr">
        <is>
          <t>Recherche d’un paiement</t>
        </is>
      </c>
      <c r="J49" s="135" t="n">
        <v>3</v>
      </c>
      <c r="K49" s="135" t="n">
        <v>15</v>
      </c>
      <c r="L49" s="45" t="n">
        <v>1</v>
      </c>
      <c r="M49" s="30" t="inlineStr">
        <is>
          <t>Mode opérationnel</t>
        </is>
      </c>
      <c r="N49" s="30" t="inlineStr">
        <is>
          <t>Recherche par référence</t>
        </is>
      </c>
      <c r="O49" s="30" t="str"/>
      <c r="P49" s="30" t="str"/>
      <c r="Q49" s="30" t="inlineStr">
        <is>
          <t>Lecture publique : STR en dimension principale et TRA en nuance. Lecture interne : Recherche d’un paiement.</t>
        </is>
      </c>
    </row>
    <row r="50" ht="36" customHeight="1">
      <c r="A50" s="30" t="inlineStr">
        <is>
          <t>Q12B</t>
        </is>
      </c>
      <c r="B50" s="30" t="n">
        <v>12</v>
      </c>
      <c r="C50" s="30" t="inlineStr">
        <is>
          <t>Un client affirme avoir payé, mais vous ne retrouvez pas immédiatement son paiement. Que faites-vous ?</t>
        </is>
      </c>
      <c r="D50" s="30" t="inlineStr">
        <is>
          <t>Je lui demande une preuve de paiement pour poursuivre la vérification.</t>
        </is>
      </c>
      <c r="E50" s="30" t="inlineStr">
        <is>
          <t>INF</t>
        </is>
      </c>
      <c r="F50" s="45" t="n">
        <v>2</v>
      </c>
      <c r="G50" s="45" t="inlineStr">
        <is>
          <t>STR</t>
        </is>
      </c>
      <c r="H50" s="45" t="n">
        <v>1</v>
      </c>
      <c r="I50" s="30" t="inlineStr">
        <is>
          <t>Recherche d’un paiement</t>
        </is>
      </c>
      <c r="J50" s="135" t="n">
        <v>2</v>
      </c>
      <c r="K50" s="135" t="n">
        <v>15</v>
      </c>
      <c r="L50" s="45" t="n">
        <v>1</v>
      </c>
      <c r="M50" s="30" t="inlineStr">
        <is>
          <t>Mode opérationnel</t>
        </is>
      </c>
      <c r="N50" s="30" t="inlineStr">
        <is>
          <t>Preuve demandée au client</t>
        </is>
      </c>
      <c r="O50" s="30" t="str"/>
      <c r="P50" s="30" t="str"/>
      <c r="Q50" s="30" t="inlineStr">
        <is>
          <t>Lecture publique : INF en dimension principale et STR en nuance. Lecture interne : Recherche d’un paiement.</t>
        </is>
      </c>
    </row>
    <row r="51" ht="36" customHeight="1">
      <c r="A51" s="30" t="inlineStr">
        <is>
          <t>Q12C</t>
        </is>
      </c>
      <c r="B51" s="30" t="n">
        <v>12</v>
      </c>
      <c r="C51" s="30" t="inlineStr">
        <is>
          <t>Un client affirme avoir payé, mais vous ne retrouvez pas immédiatement son paiement. Que faites-vous ?</t>
        </is>
      </c>
      <c r="D51" s="30" t="inlineStr">
        <is>
          <t>Je consulte mes différents soldes pour voir si le montant apparaît.</t>
        </is>
      </c>
      <c r="E51" s="30" t="inlineStr">
        <is>
          <t>EXE</t>
        </is>
      </c>
      <c r="F51" s="45" t="n">
        <v>2</v>
      </c>
      <c r="G51" s="45" t="inlineStr">
        <is>
          <t>STR</t>
        </is>
      </c>
      <c r="H51" s="45" t="n">
        <v>1</v>
      </c>
      <c r="I51" s="30" t="inlineStr">
        <is>
          <t>Recherche d’un paiement</t>
        </is>
      </c>
      <c r="J51" s="135" t="n">
        <v>1</v>
      </c>
      <c r="K51" s="135" t="n">
        <v>15</v>
      </c>
      <c r="L51" s="45" t="n">
        <v>1</v>
      </c>
      <c r="M51" s="30" t="inlineStr">
        <is>
          <t>Mode opérationnel</t>
        </is>
      </c>
      <c r="N51" s="30" t="inlineStr">
        <is>
          <t>Vérification des soldes</t>
        </is>
      </c>
      <c r="O51" s="30" t="str"/>
      <c r="P51" s="30" t="str"/>
      <c r="Q51" s="30" t="inlineStr">
        <is>
          <t>Lecture publique : EXE en dimension principale et STR en nuance. Lecture interne : Recherche d’un paiement.</t>
        </is>
      </c>
    </row>
    <row r="52" ht="36" customHeight="1">
      <c r="A52" s="30" t="inlineStr">
        <is>
          <t>Q12D</t>
        </is>
      </c>
      <c r="B52" s="30" t="n">
        <v>12</v>
      </c>
      <c r="C52" s="30" t="inlineStr">
        <is>
          <t>Un client affirme avoir payé, mais vous ne retrouvez pas immédiatement son paiement. Que faites-vous ?</t>
        </is>
      </c>
      <c r="D52" s="30" t="inlineStr">
        <is>
          <t>J’attends la notification ou la confirmation de mon opérateur de paiement.</t>
        </is>
      </c>
      <c r="E52" s="30" t="inlineStr">
        <is>
          <t>ORG</t>
        </is>
      </c>
      <c r="F52" s="45" t="n">
        <v>2</v>
      </c>
      <c r="G52" s="45" t="inlineStr">
        <is>
          <t>ADA</t>
        </is>
      </c>
      <c r="H52" s="45" t="n">
        <v>1</v>
      </c>
      <c r="I52" s="30" t="inlineStr">
        <is>
          <t>Recherche d’un paiement</t>
        </is>
      </c>
      <c r="J52" s="135" t="n">
        <v>0</v>
      </c>
      <c r="K52" s="135" t="n">
        <v>15</v>
      </c>
      <c r="L52" s="45" t="n">
        <v>1</v>
      </c>
      <c r="M52" s="30" t="inlineStr">
        <is>
          <t>Mode opérationnel</t>
        </is>
      </c>
      <c r="N52" s="30" t="inlineStr">
        <is>
          <t>Attente de confirmation</t>
        </is>
      </c>
      <c r="O52" s="30" t="str"/>
      <c r="P52" s="30" t="str"/>
      <c r="Q52" s="30" t="inlineStr">
        <is>
          <t>Lecture publique : ORG en dimension principale et ADA en nuance. Lecture interne : Recherche d’un paiement.</t>
        </is>
      </c>
    </row>
    <row r="53" ht="36" customHeight="1">
      <c r="A53" s="30" t="inlineStr">
        <is>
          <t>Q13A</t>
        </is>
      </c>
      <c r="B53" s="30" t="n">
        <v>13</v>
      </c>
      <c r="C53" s="30" t="inlineStr">
        <is>
          <t>Avant d’adopter un nouvel outil pour votre entreprise, qu’est-ce qui compte le plus pour vous ?</t>
        </is>
      </c>
      <c r="D53" s="30" t="inlineStr">
        <is>
          <t>Je veux savoir s’il peut s’intégrer facilement à mon fonctionnement actuel.</t>
        </is>
      </c>
      <c r="E53" s="30" t="inlineStr">
        <is>
          <t>TRA</t>
        </is>
      </c>
      <c r="F53" s="45" t="n">
        <v>2</v>
      </c>
      <c r="G53" s="45" t="inlineStr">
        <is>
          <t>VIS</t>
        </is>
      </c>
      <c r="H53" s="45" t="n">
        <v>1</v>
      </c>
      <c r="I53" s="30" t="str"/>
      <c r="J53" s="135" t="n"/>
      <c r="K53" s="135" t="n">
        <v>0</v>
      </c>
      <c r="L53" s="45" t="n">
        <v>0</v>
      </c>
      <c r="M53" s="30" t="inlineStr">
        <is>
          <t>Déclencheur d’adoption</t>
        </is>
      </c>
      <c r="N53" s="30" t="inlineStr">
        <is>
          <t>Intégration</t>
        </is>
      </c>
      <c r="O53" s="30" t="inlineStr">
        <is>
          <t>Disposition au changement</t>
        </is>
      </c>
      <c r="P53" s="30" t="inlineStr">
        <is>
          <t>Ouvert sous condition</t>
        </is>
      </c>
      <c r="Q53" s="30" t="inlineStr">
        <is>
          <t>Lecture publique : TRA en dimension principale et VIS en nuance. Lecture interne : tag de qualification uniquement.</t>
        </is>
      </c>
    </row>
    <row r="54" ht="36" customHeight="1">
      <c r="A54" s="30" t="inlineStr">
        <is>
          <t>Q13B</t>
        </is>
      </c>
      <c r="B54" s="30" t="n">
        <v>13</v>
      </c>
      <c r="C54" s="30" t="inlineStr">
        <is>
          <t>Avant d’adopter un nouvel outil pour votre entreprise, qu’est-ce qui compte le plus pour vous ?</t>
        </is>
      </c>
      <c r="D54" s="30" t="inlineStr">
        <is>
          <t>Je veux vérifier s’il me permettra de gagner du temps dans le suivi.</t>
        </is>
      </c>
      <c r="E54" s="30" t="inlineStr">
        <is>
          <t>EXE</t>
        </is>
      </c>
      <c r="F54" s="45" t="n">
        <v>2</v>
      </c>
      <c r="G54" s="45" t="inlineStr">
        <is>
          <t>STR</t>
        </is>
      </c>
      <c r="H54" s="45" t="n">
        <v>1</v>
      </c>
      <c r="I54" s="30" t="str"/>
      <c r="J54" s="135" t="n"/>
      <c r="K54" s="135" t="n">
        <v>0</v>
      </c>
      <c r="L54" s="45" t="n">
        <v>0</v>
      </c>
      <c r="M54" s="30" t="inlineStr">
        <is>
          <t>Déclencheur d’adoption</t>
        </is>
      </c>
      <c r="N54" s="30" t="inlineStr">
        <is>
          <t>Gain de temps</t>
        </is>
      </c>
      <c r="O54" s="30" t="inlineStr">
        <is>
          <t>Disposition au changement</t>
        </is>
      </c>
      <c r="P54" s="30" t="inlineStr">
        <is>
          <t>Ouvert sous condition</t>
        </is>
      </c>
      <c r="Q54" s="30" t="inlineStr">
        <is>
          <t>Lecture publique : EXE en dimension principale et STR en nuance. Lecture interne : tag de qualification uniquement.</t>
        </is>
      </c>
    </row>
    <row r="55" ht="36" customHeight="1">
      <c r="A55" s="30" t="inlineStr">
        <is>
          <t>Q13C</t>
        </is>
      </c>
      <c r="B55" s="30" t="n">
        <v>13</v>
      </c>
      <c r="C55" s="30" t="inlineStr">
        <is>
          <t>Avant d’adopter un nouvel outil pour votre entreprise, qu’est-ce qui compte le plus pour vous ?</t>
        </is>
      </c>
      <c r="D55" s="30" t="inlineStr">
        <is>
          <t>Je veux m’assurer que mon équipe pourra l’utiliser sans difficulté.</t>
        </is>
      </c>
      <c r="E55" s="30" t="inlineStr">
        <is>
          <t>INF</t>
        </is>
      </c>
      <c r="F55" s="45" t="n">
        <v>2</v>
      </c>
      <c r="G55" s="45" t="inlineStr">
        <is>
          <t>ORG</t>
        </is>
      </c>
      <c r="H55" s="45" t="n">
        <v>1</v>
      </c>
      <c r="I55" s="30" t="str"/>
      <c r="J55" s="135" t="n"/>
      <c r="K55" s="135" t="n">
        <v>0</v>
      </c>
      <c r="L55" s="45" t="n">
        <v>0</v>
      </c>
      <c r="M55" s="30" t="inlineStr">
        <is>
          <t>Déclencheur d’adoption</t>
        </is>
      </c>
      <c r="N55" s="30" t="inlineStr">
        <is>
          <t>Facilité pour l’équipe</t>
        </is>
      </c>
      <c r="O55" s="30" t="inlineStr">
        <is>
          <t>Disposition au changement</t>
        </is>
      </c>
      <c r="P55" s="30" t="inlineStr">
        <is>
          <t>Ouvert sous condition</t>
        </is>
      </c>
      <c r="Q55" s="30" t="inlineStr">
        <is>
          <t>Lecture publique : INF en dimension principale et ORG en nuance. Lecture interne : tag de qualification uniquement.</t>
        </is>
      </c>
    </row>
    <row r="56" ht="36" customHeight="1">
      <c r="A56" s="30" t="inlineStr">
        <is>
          <t>Q13D</t>
        </is>
      </c>
      <c r="B56" s="30" t="n">
        <v>13</v>
      </c>
      <c r="C56" s="30" t="inlineStr">
        <is>
          <t>Avant d’adopter un nouvel outil pour votre entreprise, qu’est-ce qui compte le plus pour vous ?</t>
        </is>
      </c>
      <c r="D56" s="30" t="inlineStr">
        <is>
          <t>Je préfère attendre que le besoin devienne vraiment urgent avant de changer.</t>
        </is>
      </c>
      <c r="E56" s="30" t="inlineStr">
        <is>
          <t>STR</t>
        </is>
      </c>
      <c r="F56" s="45" t="n">
        <v>2</v>
      </c>
      <c r="G56" s="45" t="inlineStr">
        <is>
          <t>ORG</t>
        </is>
      </c>
      <c r="H56" s="45" t="n">
        <v>1</v>
      </c>
      <c r="I56" s="30" t="str"/>
      <c r="J56" s="135" t="n"/>
      <c r="K56" s="135" t="n">
        <v>0</v>
      </c>
      <c r="L56" s="45" t="n">
        <v>0</v>
      </c>
      <c r="M56" s="30" t="inlineStr">
        <is>
          <t>Déclencheur d’adoption</t>
        </is>
      </c>
      <c r="N56" s="30" t="inlineStr">
        <is>
          <t>Urgence</t>
        </is>
      </c>
      <c r="O56" s="30" t="inlineStr">
        <is>
          <t>Disposition au changement</t>
        </is>
      </c>
      <c r="P56" s="30" t="inlineStr">
        <is>
          <t>Attentiste</t>
        </is>
      </c>
      <c r="Q56" s="30" t="inlineStr">
        <is>
          <t>Lecture publique : STR en dimension principale et ORG en nuance. Lecture interne : tag de qualification uniquement.</t>
        </is>
      </c>
    </row>
    <row r="57" ht="36" customHeight="1">
      <c r="A57" s="30" t="inlineStr">
        <is>
          <t>Q14A</t>
        </is>
      </c>
      <c r="B57" s="30" t="n">
        <v>14</v>
      </c>
      <c r="C57" s="30" t="inlineStr">
        <is>
          <t>Dans un an, quel progrès vous donnerait le plus le sentiment de mieux piloter votre entreprise ?</t>
        </is>
      </c>
      <c r="D57" s="30" t="inlineStr">
        <is>
          <t>Je pourrais connaître l’état de ma trésorerie sans attendre la fin du mois.</t>
        </is>
      </c>
      <c r="E57" s="30" t="inlineStr">
        <is>
          <t>VIS</t>
        </is>
      </c>
      <c r="F57" s="45" t="n">
        <v>2</v>
      </c>
      <c r="G57" s="45" t="inlineStr">
        <is>
          <t>TRA</t>
        </is>
      </c>
      <c r="H57" s="45" t="n">
        <v>1</v>
      </c>
      <c r="I57" s="30" t="str"/>
      <c r="J57" s="135" t="n"/>
      <c r="K57" s="135" t="n">
        <v>0</v>
      </c>
      <c r="L57" s="45" t="n">
        <v>0</v>
      </c>
      <c r="M57" s="30" t="inlineStr">
        <is>
          <t>Besoin prioritaire</t>
        </is>
      </c>
      <c r="N57" s="30" t="inlineStr">
        <is>
          <t>Visibilité sur la trésorerie</t>
        </is>
      </c>
      <c r="O57" s="30" t="inlineStr">
        <is>
          <t>Produit FeexPay</t>
        </is>
      </c>
      <c r="P57" s="30" t="inlineStr">
        <is>
          <t>Dashboard et reporting</t>
        </is>
      </c>
      <c r="Q57" s="30" t="inlineStr">
        <is>
          <t>Lecture publique : VIS en dimension principale et TRA en nuance. Lecture interne : tag de qualification uniquement.</t>
        </is>
      </c>
    </row>
    <row r="58" ht="36" customHeight="1">
      <c r="A58" s="30" t="inlineStr">
        <is>
          <t>Q14B</t>
        </is>
      </c>
      <c r="B58" s="30" t="n">
        <v>14</v>
      </c>
      <c r="C58" s="30" t="inlineStr">
        <is>
          <t>Dans un an, quel progrès vous donnerait le plus le sentiment de mieux piloter votre entreprise ?</t>
        </is>
      </c>
      <c r="D58" s="30" t="inlineStr">
        <is>
          <t>Je pourrais retrouver facilement l’origine de chaque mouvement de fonds.</t>
        </is>
      </c>
      <c r="E58" s="30" t="inlineStr">
        <is>
          <t>VIS</t>
        </is>
      </c>
      <c r="F58" s="45" t="n">
        <v>2</v>
      </c>
      <c r="G58" s="45" t="inlineStr">
        <is>
          <t>TRA</t>
        </is>
      </c>
      <c r="H58" s="45" t="n">
        <v>1</v>
      </c>
      <c r="I58" s="30" t="str"/>
      <c r="J58" s="135" t="n"/>
      <c r="K58" s="135" t="n">
        <v>0</v>
      </c>
      <c r="L58" s="45" t="n">
        <v>0</v>
      </c>
      <c r="M58" s="30" t="inlineStr">
        <is>
          <t>Besoin prioritaire</t>
        </is>
      </c>
      <c r="N58" s="30" t="inlineStr">
        <is>
          <t>Traçabilité des fonds</t>
        </is>
      </c>
      <c r="O58" s="30" t="inlineStr">
        <is>
          <t>Produit FeexPay</t>
        </is>
      </c>
      <c r="P58" s="30" t="inlineStr">
        <is>
          <t>Historique et rapprochement</t>
        </is>
      </c>
      <c r="Q58" s="30" t="inlineStr">
        <is>
          <t>Lecture publique : VIS en dimension principale et TRA en nuance. Lecture interne : tag de qualification uniquement.</t>
        </is>
      </c>
    </row>
    <row r="59" ht="36" customHeight="1">
      <c r="A59" s="30" t="inlineStr">
        <is>
          <t>Q14C</t>
        </is>
      </c>
      <c r="B59" s="30" t="n">
        <v>14</v>
      </c>
      <c r="C59" s="30" t="inlineStr">
        <is>
          <t>Dans un an, quel progrès vous donnerait le plus le sentiment de mieux piloter votre entreprise ?</t>
        </is>
      </c>
      <c r="D59" s="30" t="inlineStr">
        <is>
          <t>Je pourrais encaisser mes clients sur tous mes canaux de vente.</t>
        </is>
      </c>
      <c r="E59" s="30" t="inlineStr">
        <is>
          <t>VIS</t>
        </is>
      </c>
      <c r="F59" s="45" t="n">
        <v>2</v>
      </c>
      <c r="G59" s="45" t="inlineStr">
        <is>
          <t>AUD</t>
        </is>
      </c>
      <c r="H59" s="45" t="n">
        <v>1</v>
      </c>
      <c r="I59" s="30" t="str"/>
      <c r="J59" s="135" t="n"/>
      <c r="K59" s="135" t="n">
        <v>0</v>
      </c>
      <c r="L59" s="45" t="n">
        <v>0</v>
      </c>
      <c r="M59" s="30" t="inlineStr">
        <is>
          <t>Besoin prioritaire</t>
        </is>
      </c>
      <c r="N59" s="30" t="inlineStr">
        <is>
          <t>Encaissement omnicanal</t>
        </is>
      </c>
      <c r="O59" s="30" t="inlineStr">
        <is>
          <t>Produit FeexPay</t>
        </is>
      </c>
      <c r="P59" s="30" t="inlineStr">
        <is>
          <t>Lien, QR et intégration</t>
        </is>
      </c>
      <c r="Q59" s="30" t="inlineStr">
        <is>
          <t>Lecture publique : VIS en dimension principale et AUD en nuance. Lecture interne : tag de qualification uniquement.</t>
        </is>
      </c>
    </row>
    <row r="60" ht="36" customHeight="1">
      <c r="A60" s="31" t="inlineStr">
        <is>
          <t>Q14D</t>
        </is>
      </c>
      <c r="B60" s="31" t="n">
        <v>14</v>
      </c>
      <c r="C60" s="31" t="inlineStr">
        <is>
          <t>Dans un an, quel progrès vous donnerait le plus le sentiment de mieux piloter votre entreprise ?</t>
        </is>
      </c>
      <c r="D60" s="31" t="inlineStr">
        <is>
          <t>Je pourrais déléguer davantage sans perdre le contrôle de mon activité.</t>
        </is>
      </c>
      <c r="E60" s="31" t="inlineStr">
        <is>
          <t>VIS</t>
        </is>
      </c>
      <c r="F60" s="46" t="n">
        <v>2</v>
      </c>
      <c r="G60" s="46" t="inlineStr">
        <is>
          <t>INF</t>
        </is>
      </c>
      <c r="H60" s="46" t="n">
        <v>1</v>
      </c>
      <c r="I60" s="31" t="str"/>
      <c r="J60" s="136" t="n"/>
      <c r="K60" s="136" t="n">
        <v>0</v>
      </c>
      <c r="L60" s="46" t="n">
        <v>0</v>
      </c>
      <c r="M60" s="31" t="inlineStr">
        <is>
          <t>Besoin prioritaire</t>
        </is>
      </c>
      <c r="N60" s="31" t="inlineStr">
        <is>
          <t>Délégation et contrôle</t>
        </is>
      </c>
      <c r="O60" s="31" t="inlineStr">
        <is>
          <t>Produit FeexPay</t>
        </is>
      </c>
      <c r="P60" s="31" t="inlineStr">
        <is>
          <t>Gestion des collaborateurs</t>
        </is>
      </c>
      <c r="Q60" s="31" t="inlineStr">
        <is>
          <t>Lecture publique : VIS en dimension principale et INF en nuance. Lecture interne : tag de qualification uniquement.</t>
        </is>
      </c>
    </row>
  </sheetData>
  <mergeCells count="2">
    <mergeCell ref="A1:Q1"/>
    <mergeCell ref="A2:Q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2"/>
  <sheetViews>
    <sheetView showGridLines="0" workbookViewId="0">
      <selection activeCell="A1" sqref="A1"/>
    </sheetView>
  </sheetViews>
  <sheetFormatPr baseColWidth="8" defaultRowHeight="15"/>
  <cols>
    <col width="6.440000057220459" customWidth="1" min="1" max="1"/>
    <col width="4.670000076293945" customWidth="1" min="2" max="2"/>
    <col width="32.22000122070312" customWidth="1" min="3" max="3"/>
    <col width="36.66999816894531" customWidth="1" min="4" max="4"/>
    <col width="20" customWidth="1" min="5" max="5"/>
    <col width="8.220000267028809" customWidth="1" min="6" max="6"/>
    <col width="8.220000267028809" customWidth="1" min="7" max="7"/>
    <col width="18.32999992370605" customWidth="1" min="8" max="8"/>
    <col width="18.32999992370605" customWidth="1" min="9" max="9"/>
    <col width="33.33000183105469" customWidth="1" min="10" max="10"/>
  </cols>
  <sheetData>
    <row r="1" ht="31.5" customHeight="1">
      <c r="A1" s="3" t="inlineStr">
        <is>
          <t>Parcours Rayonnement — matrice option par option</t>
        </is>
      </c>
    </row>
    <row r="2">
      <c r="A2" s="7" t="inlineStr">
        <is>
          <t>Six questions progressives scorées de 0 à 3. La question 3 identifie la nature de la différenciation et ne crée aucune hiérarchie entre les réponses.</t>
        </is>
      </c>
    </row>
    <row r="3"/>
    <row r="4" ht="39" customHeight="1">
      <c r="A4" s="19" t="inlineStr">
        <is>
          <t>Code</t>
        </is>
      </c>
      <c r="B4" s="20" t="inlineStr">
        <is>
          <t>N°</t>
        </is>
      </c>
      <c r="C4" s="20" t="inlineStr">
        <is>
          <t>Question validée</t>
        </is>
      </c>
      <c r="D4" s="20" t="inlineStr">
        <is>
          <t>Option validée</t>
        </is>
      </c>
      <c r="E4" s="20" t="inlineStr">
        <is>
          <t>Dimension</t>
        </is>
      </c>
      <c r="F4" s="20" t="inlineStr">
        <is>
          <t>Points</t>
        </is>
      </c>
      <c r="G4" s="20" t="inlineStr">
        <is>
          <t>Maximum</t>
        </is>
      </c>
      <c r="H4" s="20" t="inlineStr">
        <is>
          <t>Tag</t>
        </is>
      </c>
      <c r="I4" s="20" t="inlineStr">
        <is>
          <t>Valeur</t>
        </is>
      </c>
      <c r="J4" s="21" t="inlineStr">
        <is>
          <t>Règle d’interprétation</t>
        </is>
      </c>
    </row>
    <row r="5" ht="39" customHeight="1">
      <c r="A5" s="29" t="inlineStr">
        <is>
          <t>R1A</t>
        </is>
      </c>
      <c r="B5" s="29" t="n">
        <v>1</v>
      </c>
      <c r="C5" s="29" t="inlineStr">
        <is>
          <t>En dehors de vos clients actuels, jusqu’où votre entreprise est-elle connue ?</t>
        </is>
      </c>
      <c r="D5" s="29" t="inlineStr">
        <is>
          <t>Elle est principalement connue par mon entourage et mes contacts directs.</t>
        </is>
      </c>
      <c r="E5" s="29" t="inlineStr">
        <is>
          <t>Notoriété</t>
        </is>
      </c>
      <c r="F5" s="44" t="n">
        <v>0</v>
      </c>
      <c r="G5" s="44" t="n">
        <v>3</v>
      </c>
      <c r="H5" s="29" t="inlineStr">
        <is>
          <t>Niveau déclaré</t>
        </is>
      </c>
      <c r="I5" s="29" t="inlineStr">
        <is>
          <t>Faible</t>
        </is>
      </c>
      <c r="J5" s="29" t="inlineStr">
        <is>
          <t>Échelle progressive 0/3.</t>
        </is>
      </c>
    </row>
    <row r="6" ht="39" customHeight="1">
      <c r="A6" s="30" t="inlineStr">
        <is>
          <t>R1B</t>
        </is>
      </c>
      <c r="B6" s="30" t="n">
        <v>1</v>
      </c>
      <c r="C6" s="30" t="inlineStr">
        <is>
          <t>En dehors de vos clients actuels, jusqu’où votre entreprise est-elle connue ?</t>
        </is>
      </c>
      <c r="D6" s="30" t="inlineStr">
        <is>
          <t>Elle commence à être connue par des personnes situées dans ma zone.</t>
        </is>
      </c>
      <c r="E6" s="30" t="inlineStr">
        <is>
          <t>Notoriété</t>
        </is>
      </c>
      <c r="F6" s="45" t="n">
        <v>1</v>
      </c>
      <c r="G6" s="45" t="n">
        <v>3</v>
      </c>
      <c r="H6" s="30" t="inlineStr">
        <is>
          <t>Niveau déclaré</t>
        </is>
      </c>
      <c r="I6" s="30" t="inlineStr">
        <is>
          <t>Émergent</t>
        </is>
      </c>
      <c r="J6" s="30" t="inlineStr">
        <is>
          <t>Échelle progressive 1/3.</t>
        </is>
      </c>
    </row>
    <row r="7" ht="39" customHeight="1">
      <c r="A7" s="30" t="inlineStr">
        <is>
          <t>R1C</t>
        </is>
      </c>
      <c r="B7" s="30" t="n">
        <v>1</v>
      </c>
      <c r="C7" s="30" t="inlineStr">
        <is>
          <t>En dehors de vos clients actuels, jusqu’où votre entreprise est-elle connue ?</t>
        </is>
      </c>
      <c r="D7" s="30" t="inlineStr">
        <is>
          <t>Elle est régulièrement identifiée par des prospects de mon secteur.</t>
        </is>
      </c>
      <c r="E7" s="30" t="inlineStr">
        <is>
          <t>Notoriété</t>
        </is>
      </c>
      <c r="F7" s="45" t="n">
        <v>2</v>
      </c>
      <c r="G7" s="45" t="n">
        <v>3</v>
      </c>
      <c r="H7" s="30" t="inlineStr">
        <is>
          <t>Niveau déclaré</t>
        </is>
      </c>
      <c r="I7" s="30" t="inlineStr">
        <is>
          <t>Installé</t>
        </is>
      </c>
      <c r="J7" s="30" t="inlineStr">
        <is>
          <t>Échelle progressive 2/3.</t>
        </is>
      </c>
    </row>
    <row r="8" ht="39" customHeight="1">
      <c r="A8" s="30" t="inlineStr">
        <is>
          <t>R1D</t>
        </is>
      </c>
      <c r="B8" s="30" t="n">
        <v>1</v>
      </c>
      <c r="C8" s="30" t="inlineStr">
        <is>
          <t>En dehors de vos clients actuels, jusqu’où votre entreprise est-elle connue ?</t>
        </is>
      </c>
      <c r="D8" s="30" t="inlineStr">
        <is>
          <t>Elle est reconnue par une partie importante du marché que je vise.</t>
        </is>
      </c>
      <c r="E8" s="30" t="inlineStr">
        <is>
          <t>Notoriété</t>
        </is>
      </c>
      <c r="F8" s="45" t="n">
        <v>3</v>
      </c>
      <c r="G8" s="45" t="n">
        <v>3</v>
      </c>
      <c r="H8" s="30" t="inlineStr">
        <is>
          <t>Niveau déclaré</t>
        </is>
      </c>
      <c r="I8" s="30" t="inlineStr">
        <is>
          <t>Fort</t>
        </is>
      </c>
      <c r="J8" s="30" t="inlineStr">
        <is>
          <t>Échelle progressive 3/3.</t>
        </is>
      </c>
    </row>
    <row r="9" ht="39" customHeight="1">
      <c r="A9" s="30" t="inlineStr">
        <is>
          <t>R2A</t>
        </is>
      </c>
      <c r="B9" s="30" t="n">
        <v>2</v>
      </c>
      <c r="C9" s="30" t="inlineStr">
        <is>
          <t>Lorsqu’un prospect choisit un concurrent, savez-vous généralement pourquoi ?</t>
        </is>
      </c>
      <c r="D9" s="30" t="inlineStr">
        <is>
          <t>Je reçois rarement des informations sur les raisons de son choix.</t>
        </is>
      </c>
      <c r="E9" s="30" t="inlineStr">
        <is>
          <t>Lecture concurrentielle</t>
        </is>
      </c>
      <c r="F9" s="45" t="n">
        <v>0</v>
      </c>
      <c r="G9" s="45" t="n">
        <v>3</v>
      </c>
      <c r="H9" s="30" t="inlineStr">
        <is>
          <t>Niveau déclaré</t>
        </is>
      </c>
      <c r="I9" s="30" t="inlineStr">
        <is>
          <t>Faible</t>
        </is>
      </c>
      <c r="J9" s="30" t="inlineStr">
        <is>
          <t>Échelle progressive 0/3.</t>
        </is>
      </c>
    </row>
    <row r="10" ht="39" customHeight="1">
      <c r="A10" s="30" t="inlineStr">
        <is>
          <t>R2B</t>
        </is>
      </c>
      <c r="B10" s="30" t="n">
        <v>2</v>
      </c>
      <c r="C10" s="30" t="inlineStr">
        <is>
          <t>Lorsqu’un prospect choisit un concurrent, savez-vous généralement pourquoi ?</t>
        </is>
      </c>
      <c r="D10" s="30" t="inlineStr">
        <is>
          <t>J’essaie de comprendre sa décision à partir de ce que j’observe.</t>
        </is>
      </c>
      <c r="E10" s="30" t="inlineStr">
        <is>
          <t>Lecture concurrentielle</t>
        </is>
      </c>
      <c r="F10" s="45" t="n">
        <v>1</v>
      </c>
      <c r="G10" s="45" t="n">
        <v>3</v>
      </c>
      <c r="H10" s="30" t="inlineStr">
        <is>
          <t>Niveau déclaré</t>
        </is>
      </c>
      <c r="I10" s="30" t="inlineStr">
        <is>
          <t>Émergent</t>
        </is>
      </c>
      <c r="J10" s="30" t="inlineStr">
        <is>
          <t>Échelle progressive 1/3.</t>
        </is>
      </c>
    </row>
    <row r="11" ht="39" customHeight="1">
      <c r="A11" s="30" t="inlineStr">
        <is>
          <t>R2C</t>
        </is>
      </c>
      <c r="B11" s="30" t="n">
        <v>2</v>
      </c>
      <c r="C11" s="30" t="inlineStr">
        <is>
          <t>Lorsqu’un prospect choisit un concurrent, savez-vous généralement pourquoi ?</t>
        </is>
      </c>
      <c r="D11" s="30" t="inlineStr">
        <is>
          <t>Il m’arrive de lui demander ce qui a motivé son choix.</t>
        </is>
      </c>
      <c r="E11" s="30" t="inlineStr">
        <is>
          <t>Lecture concurrentielle</t>
        </is>
      </c>
      <c r="F11" s="45" t="n">
        <v>2</v>
      </c>
      <c r="G11" s="45" t="n">
        <v>3</v>
      </c>
      <c r="H11" s="30" t="inlineStr">
        <is>
          <t>Niveau déclaré</t>
        </is>
      </c>
      <c r="I11" s="30" t="inlineStr">
        <is>
          <t>Installé</t>
        </is>
      </c>
      <c r="J11" s="30" t="inlineStr">
        <is>
          <t>Échelle progressive 2/3.</t>
        </is>
      </c>
    </row>
    <row r="12" ht="39" customHeight="1">
      <c r="A12" s="30" t="inlineStr">
        <is>
          <t>R2D</t>
        </is>
      </c>
      <c r="B12" s="30" t="n">
        <v>2</v>
      </c>
      <c r="C12" s="30" t="inlineStr">
        <is>
          <t>Lorsqu’un prospect choisit un concurrent, savez-vous généralement pourquoi ?</t>
        </is>
      </c>
      <c r="D12" s="30" t="inlineStr">
        <is>
          <t>Je recueille régulièrement ces raisons pour mieux comprendre mon marché.</t>
        </is>
      </c>
      <c r="E12" s="30" t="inlineStr">
        <is>
          <t>Lecture concurrentielle</t>
        </is>
      </c>
      <c r="F12" s="45" t="n">
        <v>3</v>
      </c>
      <c r="G12" s="45" t="n">
        <v>3</v>
      </c>
      <c r="H12" s="30" t="inlineStr">
        <is>
          <t>Niveau déclaré</t>
        </is>
      </c>
      <c r="I12" s="30" t="inlineStr">
        <is>
          <t>Fort</t>
        </is>
      </c>
      <c r="J12" s="30" t="inlineStr">
        <is>
          <t>Échelle progressive 3/3.</t>
        </is>
      </c>
    </row>
    <row r="13" ht="39" customHeight="1">
      <c r="A13" s="30" t="inlineStr">
        <is>
          <t>R3A</t>
        </is>
      </c>
      <c r="B13" s="30" t="n">
        <v>3</v>
      </c>
      <c r="C13" s="30" t="inlineStr">
        <is>
          <t>Pour quelle raison vos clients vous choisissent-ils principalement ?</t>
        </is>
      </c>
      <c r="D13" s="30" t="inlineStr">
        <is>
          <t>Ils viennent souvent vers moi parce que mes prix leur conviennent.</t>
        </is>
      </c>
      <c r="E13" s="30" t="inlineStr">
        <is>
          <t>Tag de différenciation</t>
        </is>
      </c>
      <c r="F13" s="45" t="n"/>
      <c r="G13" s="45" t="n">
        <v>3</v>
      </c>
      <c r="H13" s="30" t="inlineStr">
        <is>
          <t>Nature de la différenciation</t>
        </is>
      </c>
      <c r="I13" s="30" t="inlineStr">
        <is>
          <t>Prix</t>
        </is>
      </c>
      <c r="J13" s="30" t="inlineStr">
        <is>
          <t>Tag uniquement : aucune hiérarchie entre prix, proximité, qualité et avantage distinctif.</t>
        </is>
      </c>
    </row>
    <row r="14" ht="39" customHeight="1">
      <c r="A14" s="30" t="inlineStr">
        <is>
          <t>R3B</t>
        </is>
      </c>
      <c r="B14" s="30" t="n">
        <v>3</v>
      </c>
      <c r="C14" s="30" t="inlineStr">
        <is>
          <t>Pour quelle raison vos clients vous choisissent-ils principalement ?</t>
        </is>
      </c>
      <c r="D14" s="30" t="inlineStr">
        <is>
          <t>Ils me choisissent parce que je suis proche d’eux et facilement accessible.</t>
        </is>
      </c>
      <c r="E14" s="30" t="inlineStr">
        <is>
          <t>Tag de différenciation</t>
        </is>
      </c>
      <c r="F14" s="45" t="n"/>
      <c r="G14" s="45" t="n">
        <v>3</v>
      </c>
      <c r="H14" s="30" t="inlineStr">
        <is>
          <t>Nature de la différenciation</t>
        </is>
      </c>
      <c r="I14" s="30" t="inlineStr">
        <is>
          <t>Proximité</t>
        </is>
      </c>
      <c r="J14" s="30" t="inlineStr">
        <is>
          <t>Tag uniquement : aucune hiérarchie entre prix, proximité, qualité et avantage distinctif.</t>
        </is>
      </c>
    </row>
    <row r="15" ht="39" customHeight="1">
      <c r="A15" s="30" t="inlineStr">
        <is>
          <t>R3C</t>
        </is>
      </c>
      <c r="B15" s="30" t="n">
        <v>3</v>
      </c>
      <c r="C15" s="30" t="inlineStr">
        <is>
          <t>Pour quelle raison vos clients vous choisissent-ils principalement ?</t>
        </is>
      </c>
      <c r="D15" s="30" t="inlineStr">
        <is>
          <t>Ils reviennent parce qu’ils font confiance à la qualité de ce que je propose.</t>
        </is>
      </c>
      <c r="E15" s="30" t="inlineStr">
        <is>
          <t>Tag de différenciation</t>
        </is>
      </c>
      <c r="F15" s="45" t="n"/>
      <c r="G15" s="45" t="n">
        <v>3</v>
      </c>
      <c r="H15" s="30" t="inlineStr">
        <is>
          <t>Nature de la différenciation</t>
        </is>
      </c>
      <c r="I15" s="30" t="inlineStr">
        <is>
          <t>Qualité</t>
        </is>
      </c>
      <c r="J15" s="30" t="inlineStr">
        <is>
          <t>Tag uniquement : aucune hiérarchie entre prix, proximité, qualité et avantage distinctif.</t>
        </is>
      </c>
    </row>
    <row r="16" ht="39" customHeight="1">
      <c r="A16" s="30" t="inlineStr">
        <is>
          <t>R3D</t>
        </is>
      </c>
      <c r="B16" s="30" t="n">
        <v>3</v>
      </c>
      <c r="C16" s="30" t="inlineStr">
        <is>
          <t>Pour quelle raison vos clients vous choisissent-ils principalement ?</t>
        </is>
      </c>
      <c r="D16" s="30" t="inlineStr">
        <is>
          <t>Ils trouvent chez moi un avantage qu’ils retrouvent difficilement ailleurs.</t>
        </is>
      </c>
      <c r="E16" s="30" t="inlineStr">
        <is>
          <t>Tag de différenciation</t>
        </is>
      </c>
      <c r="F16" s="45" t="n"/>
      <c r="G16" s="45" t="n">
        <v>3</v>
      </c>
      <c r="H16" s="30" t="inlineStr">
        <is>
          <t>Nature de la différenciation</t>
        </is>
      </c>
      <c r="I16" s="30" t="inlineStr">
        <is>
          <t>Avantage distinctif</t>
        </is>
      </c>
      <c r="J16" s="30" t="inlineStr">
        <is>
          <t>Tag uniquement : aucune hiérarchie entre prix, proximité, qualité et avantage distinctif.</t>
        </is>
      </c>
    </row>
    <row r="17" ht="39" customHeight="1">
      <c r="A17" s="30" t="inlineStr">
        <is>
          <t>R4A</t>
        </is>
      </c>
      <c r="B17" s="30" t="n">
        <v>4</v>
      </c>
      <c r="C17" s="30" t="inlineStr">
        <is>
          <t>Une personne qui découvre votre entreprise comprend-elle facilement ce qui vous distingue ?</t>
        </is>
      </c>
      <c r="D17" s="30" t="inlineStr">
        <is>
          <t>Je ne saurais pas encore expliquer clairement ce qui me différencie.</t>
        </is>
      </c>
      <c r="E17" s="30" t="inlineStr">
        <is>
          <t>Différenciation</t>
        </is>
      </c>
      <c r="F17" s="45" t="n">
        <v>0</v>
      </c>
      <c r="G17" s="45" t="n">
        <v>3</v>
      </c>
      <c r="H17" s="30" t="inlineStr">
        <is>
          <t>Niveau déclaré</t>
        </is>
      </c>
      <c r="I17" s="30" t="inlineStr">
        <is>
          <t>Faible</t>
        </is>
      </c>
      <c r="J17" s="30" t="inlineStr">
        <is>
          <t>Échelle progressive 0/3.</t>
        </is>
      </c>
    </row>
    <row r="18" ht="39" customHeight="1">
      <c r="A18" s="30" t="inlineStr">
        <is>
          <t>R4B</t>
        </is>
      </c>
      <c r="B18" s="30" t="n">
        <v>4</v>
      </c>
      <c r="C18" s="30" t="inlineStr">
        <is>
          <t>Une personne qui découvre votre entreprise comprend-elle facilement ce qui vous distingue ?</t>
        </is>
      </c>
      <c r="D18" s="30" t="inlineStr">
        <is>
          <t>J’arrive à l’expliquer lorsque je présente personnellement mon activité.</t>
        </is>
      </c>
      <c r="E18" s="30" t="inlineStr">
        <is>
          <t>Différenciation</t>
        </is>
      </c>
      <c r="F18" s="45" t="n">
        <v>1</v>
      </c>
      <c r="G18" s="45" t="n">
        <v>3</v>
      </c>
      <c r="H18" s="30" t="inlineStr">
        <is>
          <t>Niveau déclaré</t>
        </is>
      </c>
      <c r="I18" s="30" t="inlineStr">
        <is>
          <t>Émergent</t>
        </is>
      </c>
      <c r="J18" s="30" t="inlineStr">
        <is>
          <t>Échelle progressive 1/3.</t>
        </is>
      </c>
    </row>
    <row r="19" ht="39" customHeight="1">
      <c r="A19" s="30" t="inlineStr">
        <is>
          <t>R4C</t>
        </is>
      </c>
      <c r="B19" s="30" t="n">
        <v>4</v>
      </c>
      <c r="C19" s="30" t="inlineStr">
        <is>
          <t>Une personne qui découvre votre entreprise comprend-elle facilement ce qui vous distingue ?</t>
        </is>
      </c>
      <c r="D19" s="30" t="inlineStr">
        <is>
          <t>Ma différence apparaît déjà dans mes offres et ma communication.</t>
        </is>
      </c>
      <c r="E19" s="30" t="inlineStr">
        <is>
          <t>Différenciation</t>
        </is>
      </c>
      <c r="F19" s="45" t="n">
        <v>2</v>
      </c>
      <c r="G19" s="45" t="n">
        <v>3</v>
      </c>
      <c r="H19" s="30" t="inlineStr">
        <is>
          <t>Niveau déclaré</t>
        </is>
      </c>
      <c r="I19" s="30" t="inlineStr">
        <is>
          <t>Installé</t>
        </is>
      </c>
      <c r="J19" s="30" t="inlineStr">
        <is>
          <t>Échelle progressive 2/3.</t>
        </is>
      </c>
    </row>
    <row r="20" ht="39" customHeight="1">
      <c r="A20" s="30" t="inlineStr">
        <is>
          <t>R4D</t>
        </is>
      </c>
      <c r="B20" s="30" t="n">
        <v>4</v>
      </c>
      <c r="C20" s="30" t="inlineStr">
        <is>
          <t>Une personne qui découvre votre entreprise comprend-elle facilement ce qui vous distingue ?</t>
        </is>
      </c>
      <c r="D20" s="30" t="inlineStr">
        <is>
          <t>Mes clients citent spontanément ce qui rend mon entreprise particulière.</t>
        </is>
      </c>
      <c r="E20" s="30" t="inlineStr">
        <is>
          <t>Différenciation</t>
        </is>
      </c>
      <c r="F20" s="45" t="n">
        <v>3</v>
      </c>
      <c r="G20" s="45" t="n">
        <v>3</v>
      </c>
      <c r="H20" s="30" t="inlineStr">
        <is>
          <t>Niveau déclaré</t>
        </is>
      </c>
      <c r="I20" s="30" t="inlineStr">
        <is>
          <t>Fort</t>
        </is>
      </c>
      <c r="J20" s="30" t="inlineStr">
        <is>
          <t>Échelle progressive 3/3.</t>
        </is>
      </c>
    </row>
    <row r="21" ht="39" customHeight="1">
      <c r="A21" s="30" t="inlineStr">
        <is>
          <t>R5A</t>
        </is>
      </c>
      <c r="B21" s="30" t="n">
        <v>5</v>
      </c>
      <c r="C21" s="30" t="inlineStr">
        <is>
          <t>Comment votre entreprise est-elle actuellement présente sur les canaux numériques ?</t>
        </is>
      </c>
      <c r="D21" s="30" t="inlineStr">
        <is>
          <t>Mon entreprise y est peu présente ou ne dispose pas encore de page active.</t>
        </is>
      </c>
      <c r="E21" s="30" t="inlineStr">
        <is>
          <t>Présence digitale</t>
        </is>
      </c>
      <c r="F21" s="45" t="n">
        <v>0</v>
      </c>
      <c r="G21" s="45" t="n">
        <v>3</v>
      </c>
      <c r="H21" s="30" t="inlineStr">
        <is>
          <t>Niveau déclaré</t>
        </is>
      </c>
      <c r="I21" s="30" t="inlineStr">
        <is>
          <t>Faible</t>
        </is>
      </c>
      <c r="J21" s="30" t="inlineStr">
        <is>
          <t>Échelle progressive 0/3.</t>
        </is>
      </c>
    </row>
    <row r="22" ht="39" customHeight="1">
      <c r="A22" s="30" t="inlineStr">
        <is>
          <t>R5B</t>
        </is>
      </c>
      <c r="B22" s="30" t="n">
        <v>5</v>
      </c>
      <c r="C22" s="30" t="inlineStr">
        <is>
          <t>Comment votre entreprise est-elle actuellement présente sur les canaux numériques ?</t>
        </is>
      </c>
      <c r="D22" s="30" t="inlineStr">
        <is>
          <t>Je publie principalement lorsque j’ai une actualité ou du temps disponible.</t>
        </is>
      </c>
      <c r="E22" s="30" t="inlineStr">
        <is>
          <t>Présence digitale</t>
        </is>
      </c>
      <c r="F22" s="45" t="n">
        <v>1</v>
      </c>
      <c r="G22" s="45" t="n">
        <v>3</v>
      </c>
      <c r="H22" s="30" t="inlineStr">
        <is>
          <t>Niveau déclaré</t>
        </is>
      </c>
      <c r="I22" s="30" t="inlineStr">
        <is>
          <t>Émergent</t>
        </is>
      </c>
      <c r="J22" s="30" t="inlineStr">
        <is>
          <t>Échelle progressive 1/3.</t>
        </is>
      </c>
    </row>
    <row r="23" ht="39" customHeight="1">
      <c r="A23" s="30" t="inlineStr">
        <is>
          <t>R5C</t>
        </is>
      </c>
      <c r="B23" s="30" t="n">
        <v>5</v>
      </c>
      <c r="C23" s="30" t="inlineStr">
        <is>
          <t>Comment votre entreprise est-elle actuellement présente sur les canaux numériques ?</t>
        </is>
      </c>
      <c r="D23" s="30" t="inlineStr">
        <is>
          <t>Je communique régulièrement sur le canal que j’utilise le plus.</t>
        </is>
      </c>
      <c r="E23" s="30" t="inlineStr">
        <is>
          <t>Présence digitale</t>
        </is>
      </c>
      <c r="F23" s="45" t="n">
        <v>2</v>
      </c>
      <c r="G23" s="45" t="n">
        <v>3</v>
      </c>
      <c r="H23" s="30" t="inlineStr">
        <is>
          <t>Niveau déclaré</t>
        </is>
      </c>
      <c r="I23" s="30" t="inlineStr">
        <is>
          <t>Installé</t>
        </is>
      </c>
      <c r="J23" s="30" t="inlineStr">
        <is>
          <t>Échelle progressive 2/3.</t>
        </is>
      </c>
    </row>
    <row r="24" ht="39" customHeight="1">
      <c r="A24" s="30" t="inlineStr">
        <is>
          <t>R5D</t>
        </is>
      </c>
      <c r="B24" s="30" t="n">
        <v>5</v>
      </c>
      <c r="C24" s="30" t="inlineStr">
        <is>
          <t>Comment votre entreprise est-elle actuellement présente sur les canaux numériques ?</t>
        </is>
      </c>
      <c r="D24" s="30" t="inlineStr">
        <is>
          <t>Je maintiens une présence continue sur les canaux utiles à mon activité.</t>
        </is>
      </c>
      <c r="E24" s="30" t="inlineStr">
        <is>
          <t>Présence digitale</t>
        </is>
      </c>
      <c r="F24" s="45" t="n">
        <v>3</v>
      </c>
      <c r="G24" s="45" t="n">
        <v>3</v>
      </c>
      <c r="H24" s="30" t="inlineStr">
        <is>
          <t>Niveau déclaré</t>
        </is>
      </c>
      <c r="I24" s="30" t="inlineStr">
        <is>
          <t>Fort</t>
        </is>
      </c>
      <c r="J24" s="30" t="inlineStr">
        <is>
          <t>Échelle progressive 3/3.</t>
        </is>
      </c>
    </row>
    <row r="25" ht="39" customHeight="1">
      <c r="A25" s="30" t="inlineStr">
        <is>
          <t>R6A</t>
        </is>
      </c>
      <c r="B25" s="30" t="n">
        <v>6</v>
      </c>
      <c r="C25" s="30" t="inlineStr">
        <is>
          <t>Que produit concrètement votre présence numérique pour votre entreprise ?</t>
        </is>
      </c>
      <c r="D25" s="30" t="inlineStr">
        <is>
          <t>Je ne mesure pas encore réellement ce qu’elle apporte à mon activité.</t>
        </is>
      </c>
      <c r="E25" s="30" t="inlineStr">
        <is>
          <t>Performance digitale</t>
        </is>
      </c>
      <c r="F25" s="45" t="n">
        <v>0</v>
      </c>
      <c r="G25" s="45" t="n">
        <v>3</v>
      </c>
      <c r="H25" s="30" t="inlineStr">
        <is>
          <t>Niveau déclaré</t>
        </is>
      </c>
      <c r="I25" s="30" t="inlineStr">
        <is>
          <t>Faible</t>
        </is>
      </c>
      <c r="J25" s="30" t="inlineStr">
        <is>
          <t>Échelle progressive 0/3.</t>
        </is>
      </c>
    </row>
    <row r="26" ht="39" customHeight="1">
      <c r="A26" s="30" t="inlineStr">
        <is>
          <t>R6B</t>
        </is>
      </c>
      <c r="B26" s="30" t="n">
        <v>6</v>
      </c>
      <c r="C26" s="30" t="inlineStr">
        <is>
          <t>Que produit concrètement votre présence numérique pour votre entreprise ?</t>
        </is>
      </c>
      <c r="D26" s="30" t="inlineStr">
        <is>
          <t>Elle me permet surtout d’obtenir de la visibilité et des réactions.</t>
        </is>
      </c>
      <c r="E26" s="30" t="inlineStr">
        <is>
          <t>Performance digitale</t>
        </is>
      </c>
      <c r="F26" s="45" t="n">
        <v>1</v>
      </c>
      <c r="G26" s="45" t="n">
        <v>3</v>
      </c>
      <c r="H26" s="30" t="inlineStr">
        <is>
          <t>Niveau déclaré</t>
        </is>
      </c>
      <c r="I26" s="30" t="inlineStr">
        <is>
          <t>Émergent</t>
        </is>
      </c>
      <c r="J26" s="30" t="inlineStr">
        <is>
          <t>Échelle progressive 1/3.</t>
        </is>
      </c>
    </row>
    <row r="27" ht="39" customHeight="1">
      <c r="A27" s="30" t="inlineStr">
        <is>
          <t>R6C</t>
        </is>
      </c>
      <c r="B27" s="30" t="n">
        <v>6</v>
      </c>
      <c r="C27" s="30" t="inlineStr">
        <is>
          <t>Que produit concrètement votre présence numérique pour votre entreprise ?</t>
        </is>
      </c>
      <c r="D27" s="30" t="inlineStr">
        <is>
          <t>Elle génère régulièrement des demandes d’information ou de devis.</t>
        </is>
      </c>
      <c r="E27" s="30" t="inlineStr">
        <is>
          <t>Performance digitale</t>
        </is>
      </c>
      <c r="F27" s="45" t="n">
        <v>2</v>
      </c>
      <c r="G27" s="45" t="n">
        <v>3</v>
      </c>
      <c r="H27" s="30" t="inlineStr">
        <is>
          <t>Niveau déclaré</t>
        </is>
      </c>
      <c r="I27" s="30" t="inlineStr">
        <is>
          <t>Installé</t>
        </is>
      </c>
      <c r="J27" s="30" t="inlineStr">
        <is>
          <t>Échelle progressive 2/3.</t>
        </is>
      </c>
    </row>
    <row r="28" ht="39" customHeight="1">
      <c r="A28" s="30" t="inlineStr">
        <is>
          <t>R6D</t>
        </is>
      </c>
      <c r="B28" s="30" t="n">
        <v>6</v>
      </c>
      <c r="C28" s="30" t="inlineStr">
        <is>
          <t>Que produit concrètement votre présence numérique pour votre entreprise ?</t>
        </is>
      </c>
      <c r="D28" s="30" t="inlineStr">
        <is>
          <t>Je peux identifier des ventes directement issues de mes actions numériques.</t>
        </is>
      </c>
      <c r="E28" s="30" t="inlineStr">
        <is>
          <t>Performance digitale</t>
        </is>
      </c>
      <c r="F28" s="45" t="n">
        <v>3</v>
      </c>
      <c r="G28" s="45" t="n">
        <v>3</v>
      </c>
      <c r="H28" s="30" t="inlineStr">
        <is>
          <t>Niveau déclaré</t>
        </is>
      </c>
      <c r="I28" s="30" t="inlineStr">
        <is>
          <t>Fort</t>
        </is>
      </c>
      <c r="J28" s="30" t="inlineStr">
        <is>
          <t>Échelle progressive 3/3.</t>
        </is>
      </c>
    </row>
    <row r="29" ht="39" customHeight="1">
      <c r="A29" s="30" t="inlineStr">
        <is>
          <t>R7A</t>
        </is>
      </c>
      <c r="B29" s="30" t="n">
        <v>7</v>
      </c>
      <c r="C29" s="30" t="inlineStr">
        <is>
          <t>Si votre entreprise arrêtait ses activités demain, qui le remarquerait rapidement ?</t>
        </is>
      </c>
      <c r="D29" s="30" t="inlineStr">
        <is>
          <t>Les personnes directement impliquées dans mon activité le remarqueraient.</t>
        </is>
      </c>
      <c r="E29" s="30" t="inlineStr">
        <is>
          <t>Empreinte dans l’écosystème</t>
        </is>
      </c>
      <c r="F29" s="45" t="n">
        <v>0</v>
      </c>
      <c r="G29" s="45" t="n">
        <v>3</v>
      </c>
      <c r="H29" s="30" t="inlineStr">
        <is>
          <t>Niveau déclaré</t>
        </is>
      </c>
      <c r="I29" s="30" t="inlineStr">
        <is>
          <t>Faible</t>
        </is>
      </c>
      <c r="J29" s="30" t="inlineStr">
        <is>
          <t>Échelle progressive 0/3.</t>
        </is>
      </c>
    </row>
    <row r="30" ht="39" customHeight="1">
      <c r="A30" s="30" t="inlineStr">
        <is>
          <t>R7B</t>
        </is>
      </c>
      <c r="B30" s="30" t="n">
        <v>7</v>
      </c>
      <c r="C30" s="30" t="inlineStr">
        <is>
          <t>Si votre entreprise arrêtait ses activités demain, qui le remarquerait rapidement ?</t>
        </is>
      </c>
      <c r="D30" s="30" t="inlineStr">
        <is>
          <t>Mes clients réguliers ressentiraient rapidement mon absence.</t>
        </is>
      </c>
      <c r="E30" s="30" t="inlineStr">
        <is>
          <t>Empreinte dans l’écosystème</t>
        </is>
      </c>
      <c r="F30" s="45" t="n">
        <v>1</v>
      </c>
      <c r="G30" s="45" t="n">
        <v>3</v>
      </c>
      <c r="H30" s="30" t="inlineStr">
        <is>
          <t>Niveau déclaré</t>
        </is>
      </c>
      <c r="I30" s="30" t="inlineStr">
        <is>
          <t>Émergent</t>
        </is>
      </c>
      <c r="J30" s="30" t="inlineStr">
        <is>
          <t>Échelle progressive 1/3.</t>
        </is>
      </c>
    </row>
    <row r="31" ht="39" customHeight="1">
      <c r="A31" s="30" t="inlineStr">
        <is>
          <t>R7C</t>
        </is>
      </c>
      <c r="B31" s="30" t="n">
        <v>7</v>
      </c>
      <c r="C31" s="30" t="inlineStr">
        <is>
          <t>Si votre entreprise arrêtait ses activités demain, qui le remarquerait rapidement ?</t>
        </is>
      </c>
      <c r="D31" s="30" t="inlineStr">
        <is>
          <t>Certains partenaires ou professionnels de mon secteur le remarqueraient.</t>
        </is>
      </c>
      <c r="E31" s="30" t="inlineStr">
        <is>
          <t>Empreinte dans l’écosystème</t>
        </is>
      </c>
      <c r="F31" s="45" t="n">
        <v>2</v>
      </c>
      <c r="G31" s="45" t="n">
        <v>3</v>
      </c>
      <c r="H31" s="30" t="inlineStr">
        <is>
          <t>Niveau déclaré</t>
        </is>
      </c>
      <c r="I31" s="30" t="inlineStr">
        <is>
          <t>Installé</t>
        </is>
      </c>
      <c r="J31" s="30" t="inlineStr">
        <is>
          <t>Échelle progressive 2/3.</t>
        </is>
      </c>
    </row>
    <row r="32" ht="39" customHeight="1">
      <c r="A32" s="31" t="inlineStr">
        <is>
          <t>R7D</t>
        </is>
      </c>
      <c r="B32" s="31" t="n">
        <v>7</v>
      </c>
      <c r="C32" s="31" t="inlineStr">
        <is>
          <t>Si votre entreprise arrêtait ses activités demain, qui le remarquerait rapidement ?</t>
        </is>
      </c>
      <c r="D32" s="31" t="inlineStr">
        <is>
          <t>Une partie de mon marché constaterait clairement la disparition de mon offre.</t>
        </is>
      </c>
      <c r="E32" s="31" t="inlineStr">
        <is>
          <t>Empreinte dans l’écosystème</t>
        </is>
      </c>
      <c r="F32" s="46" t="n">
        <v>3</v>
      </c>
      <c r="G32" s="46" t="n">
        <v>3</v>
      </c>
      <c r="H32" s="31" t="inlineStr">
        <is>
          <t>Niveau déclaré</t>
        </is>
      </c>
      <c r="I32" s="31" t="inlineStr">
        <is>
          <t>Fort</t>
        </is>
      </c>
      <c r="J32" s="31" t="inlineStr">
        <is>
          <t>Échelle progressive 3/3.</t>
        </is>
      </c>
    </row>
  </sheetData>
  <mergeCells count="2">
    <mergeCell ref="A1:J1"/>
    <mergeCell ref="A2:J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88"/>
  <sheetViews>
    <sheetView showGridLines="0" workbookViewId="0">
      <selection activeCell="A1" sqref="A1"/>
    </sheetView>
  </sheetViews>
  <sheetFormatPr baseColWidth="8" defaultRowHeight="15"/>
  <cols>
    <col width="6.440000057220459" customWidth="1" min="1" max="1"/>
    <col width="10.22000026702881" customWidth="1" min="2" max="2"/>
    <col width="4.670000076293945" customWidth="1" min="3" max="3"/>
    <col width="29.44000053405762" customWidth="1" min="4" max="4"/>
    <col width="35.56000137329102" customWidth="1" min="5" max="5"/>
    <col width="16.67000007629395" customWidth="1" min="6" max="6"/>
    <col width="13.5600004196167" customWidth="1" min="7" max="7"/>
    <col width="7.21999979019165" customWidth="1" min="8" max="8"/>
    <col width="11.67000007629395" customWidth="1" min="9" max="9"/>
    <col width="33.33000183105469" customWidth="1" min="10" max="10"/>
    <col width="33.33000183105469" customWidth="1" min="11" max="11"/>
    <col width="33.33000183105469" customWidth="1" min="12" max="12"/>
    <col width="33.33000183105469" customWidth="1" min="13" max="13"/>
    <col width="25" customWidth="1" min="14" max="14"/>
  </cols>
  <sheetData>
    <row r="1" ht="31.5" customHeight="1">
      <c r="A1" s="3" t="inlineStr">
        <is>
          <t>Bibliothèque de constats — lecture commerciale option par option</t>
        </is>
      </c>
    </row>
    <row r="2">
      <c r="A2" s="7" t="inlineStr">
        <is>
          <t>Chaque option est traduite en fait déclaré, difficulté éventuelle et hypothèse à confirmer. Une hypothèse n’est jamais présentée comme un fait et aucune ligne ne recommande un produit.</t>
        </is>
      </c>
    </row>
    <row r="3"/>
    <row r="4" ht="41.25" customHeight="1">
      <c r="A4" s="19" t="inlineStr">
        <is>
          <t>Code</t>
        </is>
      </c>
      <c r="B4" s="20" t="inlineStr">
        <is>
          <t>Parcours</t>
        </is>
      </c>
      <c r="C4" s="20" t="inlineStr">
        <is>
          <t>N°</t>
        </is>
      </c>
      <c r="D4" s="20" t="inlineStr">
        <is>
          <t>Question validée</t>
        </is>
      </c>
      <c r="E4" s="20" t="inlineStr">
        <is>
          <t>Option validée</t>
        </is>
      </c>
      <c r="F4" s="20" t="inlineStr">
        <is>
          <t>Dimension</t>
        </is>
      </c>
      <c r="G4" s="20" t="inlineStr">
        <is>
          <t>Nature</t>
        </is>
      </c>
      <c r="H4" s="20" t="inlineStr">
        <is>
          <t>Gravité</t>
        </is>
      </c>
      <c r="I4" s="20" t="inlineStr">
        <is>
          <t>Niveau</t>
        </is>
      </c>
      <c r="J4" s="20" t="inlineStr">
        <is>
          <t>Constat factuel</t>
        </is>
      </c>
      <c r="K4" s="20" t="inlineStr">
        <is>
          <t>Difficulté précise</t>
        </is>
      </c>
      <c r="L4" s="20" t="inlineStr">
        <is>
          <t>Hypothèse à approfondir</t>
        </is>
      </c>
      <c r="M4" s="20" t="inlineStr">
        <is>
          <t>Question de relance</t>
        </is>
      </c>
      <c r="N4" s="21" t="inlineStr">
        <is>
          <t>Utilisation commerciale</t>
        </is>
      </c>
    </row>
    <row r="5" ht="41.25" customHeight="1">
      <c r="A5" s="29" t="inlineStr">
        <is>
          <t>Q1A</t>
        </is>
      </c>
      <c r="B5" s="29" t="inlineStr">
        <is>
          <t>Dirigeant</t>
        </is>
      </c>
      <c r="C5" s="29" t="n">
        <v>1</v>
      </c>
      <c r="D5" s="29" t="inlineStr">
        <is>
          <t>Une nouvelle opportunité se présente. Qu’est-ce qui vous pousse le plus à avancer ?</t>
        </is>
      </c>
      <c r="E5" s="29" t="inlineStr">
        <is>
          <t>Je me projette d’abord sur ce qu’elle pourrait apporter à mon entreprise.</t>
        </is>
      </c>
      <c r="F5" s="29" t="inlineStr">
        <is>
          <t>Décision</t>
        </is>
      </c>
      <c r="G5" s="29" t="inlineStr">
        <is>
          <t>Signal déclaré</t>
        </is>
      </c>
      <c r="H5" s="44" t="n">
        <v>0</v>
      </c>
      <c r="I5" s="29" t="inlineStr">
        <is>
          <t>Aucune alerte</t>
        </is>
      </c>
      <c r="J5" s="29" t="inlineStr">
        <is>
          <t>Le prospect se projette d’abord sur l’impact futur d’une opportunité.</t>
        </is>
      </c>
      <c r="K5" s="29" t="str"/>
      <c r="L5" s="29" t="inlineStr">
        <is>
          <t>Sa décision semble sensible à la perspective de développement.</t>
        </is>
      </c>
      <c r="M5" s="29" t="inlineStr">
        <is>
          <t>Quels résultats attendez-vous généralement avant de considérer une opportunité comme intéressante ?</t>
        </is>
      </c>
      <c r="N5" s="29" t="inlineStr">
        <is>
          <t>Comprendre son moteur de décision.</t>
        </is>
      </c>
    </row>
    <row r="6" ht="41.25" customHeight="1">
      <c r="A6" s="30" t="inlineStr">
        <is>
          <t>Q1B</t>
        </is>
      </c>
      <c r="B6" s="30" t="inlineStr">
        <is>
          <t>Dirigeant</t>
        </is>
      </c>
      <c r="C6" s="30" t="n">
        <v>1</v>
      </c>
      <c r="D6" s="30" t="inlineStr">
        <is>
          <t>Une nouvelle opportunité se présente. Qu’est-ce qui vous pousse le plus à avancer ?</t>
        </is>
      </c>
      <c r="E6" s="30" t="inlineStr">
        <is>
          <t>Je vérifie les chiffres avant de décider si elle mérite mon investissement.</t>
        </is>
      </c>
      <c r="F6" s="30" t="inlineStr">
        <is>
          <t>Décision</t>
        </is>
      </c>
      <c r="G6" s="30" t="inlineStr">
        <is>
          <t>Signal déclaré</t>
        </is>
      </c>
      <c r="H6" s="45" t="n">
        <v>0</v>
      </c>
      <c r="I6" s="30" t="inlineStr">
        <is>
          <t>Aucune alerte</t>
        </is>
      </c>
      <c r="J6" s="30" t="inlineStr">
        <is>
          <t>Le prospect examine les chiffres avant d’investir.</t>
        </is>
      </c>
      <c r="K6" s="30" t="str"/>
      <c r="L6" s="30" t="inlineStr">
        <is>
          <t>Il cherchera probablement des éléments quantifiables avant d’avancer.</t>
        </is>
      </c>
      <c r="M6" s="30" t="inlineStr">
        <is>
          <t>Quels chiffres vous permettent aujourd’hui de juger qu’une décision est rentable ?</t>
        </is>
      </c>
      <c r="N6" s="30" t="inlineStr">
        <is>
          <t>Préparer un échange fondé sur des données.</t>
        </is>
      </c>
    </row>
    <row r="7" ht="41.25" customHeight="1">
      <c r="A7" s="30" t="inlineStr">
        <is>
          <t>Q1C</t>
        </is>
      </c>
      <c r="B7" s="30" t="inlineStr">
        <is>
          <t>Dirigeant</t>
        </is>
      </c>
      <c r="C7" s="30" t="n">
        <v>1</v>
      </c>
      <c r="D7" s="30" t="inlineStr">
        <is>
          <t>Une nouvelle opportunité se présente. Qu’est-ce qui vous pousse le plus à avancer ?</t>
        </is>
      </c>
      <c r="E7" s="30" t="inlineStr">
        <is>
          <t>J’observe si elle répond à une demande réelle de mes clients.</t>
        </is>
      </c>
      <c r="F7" s="30" t="inlineStr">
        <is>
          <t>Décision</t>
        </is>
      </c>
      <c r="G7" s="30" t="inlineStr">
        <is>
          <t>Signal déclaré</t>
        </is>
      </c>
      <c r="H7" s="45" t="n">
        <v>0</v>
      </c>
      <c r="I7" s="30" t="inlineStr">
        <is>
          <t>Aucune alerte</t>
        </is>
      </c>
      <c r="J7" s="30" t="inlineStr">
        <is>
          <t>Le prospect observe d’abord la demande réelle de ses clients.</t>
        </is>
      </c>
      <c r="K7" s="30" t="str"/>
      <c r="L7" s="30" t="inlineStr">
        <is>
          <t>La preuve par l’usage client semble déterminante dans ses choix.</t>
        </is>
      </c>
      <c r="M7" s="30" t="inlineStr">
        <is>
          <t>Comment recueillez-vous aujourd’hui les demandes ou objections de vos clients ?</t>
        </is>
      </c>
      <c r="N7" s="30" t="inlineStr">
        <is>
          <t>Comprendre la place du retour client.</t>
        </is>
      </c>
    </row>
    <row r="8" ht="41.25" customHeight="1">
      <c r="A8" s="30" t="inlineStr">
        <is>
          <t>Q1D</t>
        </is>
      </c>
      <c r="B8" s="30" t="inlineStr">
        <is>
          <t>Dirigeant</t>
        </is>
      </c>
      <c r="C8" s="30" t="n">
        <v>1</v>
      </c>
      <c r="D8" s="30" t="inlineStr">
        <is>
          <t>Une nouvelle opportunité se présente. Qu’est-ce qui vous pousse le plus à avancer ?</t>
        </is>
      </c>
      <c r="E8" s="30" t="inlineStr">
        <is>
          <t>Je préfère la tester à petite échelle avant de m’engager davantage.</t>
        </is>
      </c>
      <c r="F8" s="30" t="inlineStr">
        <is>
          <t>Décision</t>
        </is>
      </c>
      <c r="G8" s="30" t="inlineStr">
        <is>
          <t>Signal déclaré</t>
        </is>
      </c>
      <c r="H8" s="45" t="n">
        <v>0</v>
      </c>
      <c r="I8" s="30" t="inlineStr">
        <is>
          <t>Aucune alerte</t>
        </is>
      </c>
      <c r="J8" s="30" t="inlineStr">
        <is>
          <t>Le prospect préfère tester une opportunité à petite échelle.</t>
        </is>
      </c>
      <c r="K8" s="30" t="str"/>
      <c r="L8" s="30" t="inlineStr">
        <is>
          <t>Une démarche pilote peut faciliter son engagement.</t>
        </is>
      </c>
      <c r="M8" s="30" t="inlineStr">
        <is>
          <t>À quoi ressemble, pour vous, un test suffisamment concluant pour poursuivre ?</t>
        </is>
      </c>
      <c r="N8" s="30" t="inlineStr">
        <is>
          <t>Comprendre son mode d’expérimentation.</t>
        </is>
      </c>
    </row>
    <row r="9" ht="41.25" customHeight="1">
      <c r="A9" s="30" t="inlineStr">
        <is>
          <t>Q2A</t>
        </is>
      </c>
      <c r="B9" s="30" t="inlineStr">
        <is>
          <t>Dirigeant</t>
        </is>
      </c>
      <c r="C9" s="30" t="n">
        <v>2</v>
      </c>
      <c r="D9" s="30" t="inlineStr">
        <is>
          <t>Vos ventes augmentent brusquement. Quelle devient votre première priorité ?</t>
        </is>
      </c>
      <c r="E9" s="30" t="inlineStr">
        <is>
          <t>Je cherche d’abord à sécuriser les nouveaux encaissements.</t>
        </is>
      </c>
      <c r="F9" s="30" t="inlineStr">
        <is>
          <t>Croissance</t>
        </is>
      </c>
      <c r="G9" s="30" t="inlineStr">
        <is>
          <t>Signal déclaré</t>
        </is>
      </c>
      <c r="H9" s="45" t="n">
        <v>0</v>
      </c>
      <c r="I9" s="30" t="inlineStr">
        <is>
          <t>Aucune alerte</t>
        </is>
      </c>
      <c r="J9" s="30" t="inlineStr">
        <is>
          <t>En période de croissance, sa priorité est de sécuriser les encaissements.</t>
        </is>
      </c>
      <c r="K9" s="30" t="str"/>
      <c r="L9" s="30" t="inlineStr">
        <is>
          <t>Il associe l’augmentation des ventes à un risque opérationnel sur les paiements.</t>
        </is>
      </c>
      <c r="M9" s="30" t="inlineStr">
        <is>
          <t>Qu’est-ce qui devient le plus difficile à contrôler lorsque vos ventes augmentent ?</t>
        </is>
      </c>
      <c r="N9" s="30" t="inlineStr">
        <is>
          <t>Identifier les tensions créées par la croissance.</t>
        </is>
      </c>
    </row>
    <row r="10" ht="41.25" customHeight="1">
      <c r="A10" s="30" t="inlineStr">
        <is>
          <t>Q2B</t>
        </is>
      </c>
      <c r="B10" s="30" t="inlineStr">
        <is>
          <t>Dirigeant</t>
        </is>
      </c>
      <c r="C10" s="30" t="n">
        <v>2</v>
      </c>
      <c r="D10" s="30" t="inlineStr">
        <is>
          <t>Vos ventes augmentent brusquement. Quelle devient votre première priorité ?</t>
        </is>
      </c>
      <c r="E10" s="30" t="inlineStr">
        <is>
          <t>Je m’assure que mon organisation peut absorber cette augmentation.</t>
        </is>
      </c>
      <c r="F10" s="30" t="inlineStr">
        <is>
          <t>Croissance</t>
        </is>
      </c>
      <c r="G10" s="30" t="inlineStr">
        <is>
          <t>Signal déclaré</t>
        </is>
      </c>
      <c r="H10" s="45" t="n">
        <v>0</v>
      </c>
      <c r="I10" s="30" t="inlineStr">
        <is>
          <t>Aucune alerte</t>
        </is>
      </c>
      <c r="J10" s="30" t="inlineStr">
        <is>
          <t>En période de croissance, sa priorité est la capacité de l’organisation à suivre.</t>
        </is>
      </c>
      <c r="K10" s="30" t="str"/>
      <c r="L10" s="30" t="inlineStr">
        <is>
          <t>La charge opérationnelle peut constituer son principal frein à l’accélération.</t>
        </is>
      </c>
      <c r="M10" s="30" t="inlineStr">
        <is>
          <t>Quels processus sont les premiers à être débordés lorsque l’activité augmente ?</t>
        </is>
      </c>
      <c r="N10" s="30" t="inlineStr">
        <is>
          <t>Identifier les limites opérationnelles.</t>
        </is>
      </c>
    </row>
    <row r="11" ht="41.25" customHeight="1">
      <c r="A11" s="30" t="inlineStr">
        <is>
          <t>Q2C</t>
        </is>
      </c>
      <c r="B11" s="30" t="inlineStr">
        <is>
          <t>Dirigeant</t>
        </is>
      </c>
      <c r="C11" s="30" t="n">
        <v>2</v>
      </c>
      <c r="D11" s="30" t="inlineStr">
        <is>
          <t>Vos ventes augmentent brusquement. Quelle devient votre première priorité ?</t>
        </is>
      </c>
      <c r="E11" s="30" t="inlineStr">
        <is>
          <t>Je veille surtout à maintenir une bonne expérience pour mes clients.</t>
        </is>
      </c>
      <c r="F11" s="30" t="inlineStr">
        <is>
          <t>Croissance</t>
        </is>
      </c>
      <c r="G11" s="30" t="inlineStr">
        <is>
          <t>Signal déclaré</t>
        </is>
      </c>
      <c r="H11" s="45" t="n">
        <v>0</v>
      </c>
      <c r="I11" s="30" t="inlineStr">
        <is>
          <t>Aucune alerte</t>
        </is>
      </c>
      <c r="J11" s="30" t="inlineStr">
        <is>
          <t>En période de croissance, sa priorité est de préserver l’expérience client.</t>
        </is>
      </c>
      <c r="K11" s="30" t="str"/>
      <c r="L11" s="30" t="inlineStr">
        <is>
          <t>Il pourrait arbitrer les outils et processus selon leur impact sur le client.</t>
        </is>
      </c>
      <c r="M11" s="30" t="inlineStr">
        <is>
          <t>À quel moment l’augmentation des commandes commence-t-elle à affecter vos clients ?</t>
        </is>
      </c>
      <c r="N11" s="30" t="inlineStr">
        <is>
          <t>Identifier les frictions côté client.</t>
        </is>
      </c>
    </row>
    <row r="12" ht="41.25" customHeight="1">
      <c r="A12" s="30" t="inlineStr">
        <is>
          <t>Q2D</t>
        </is>
      </c>
      <c r="B12" s="30" t="inlineStr">
        <is>
          <t>Dirigeant</t>
        </is>
      </c>
      <c r="C12" s="30" t="n">
        <v>2</v>
      </c>
      <c r="D12" s="30" t="inlineStr">
        <is>
          <t>Vos ventes augmentent brusquement. Quelle devient votre première priorité ?</t>
        </is>
      </c>
      <c r="E12" s="30" t="inlineStr">
        <is>
          <t>Je prépare immédiatement la prochaine étape de développement.</t>
        </is>
      </c>
      <c r="F12" s="30" t="inlineStr">
        <is>
          <t>Croissance</t>
        </is>
      </c>
      <c r="G12" s="30" t="inlineStr">
        <is>
          <t>Signal déclaré</t>
        </is>
      </c>
      <c r="H12" s="45" t="n">
        <v>0</v>
      </c>
      <c r="I12" s="30" t="inlineStr">
        <is>
          <t>Aucune alerte</t>
        </is>
      </c>
      <c r="J12" s="30" t="inlineStr">
        <is>
          <t>En période de croissance, sa priorité est de préparer l’étape suivante.</t>
        </is>
      </c>
      <c r="K12" s="30" t="str"/>
      <c r="L12" s="30" t="inlineStr">
        <is>
          <t>Il peut être davantage orienté accélération que consolidation.</t>
        </is>
      </c>
      <c r="M12" s="30" t="inlineStr">
        <is>
          <t>Quels éléments doivent être sécurisés avant votre prochaine phase de développement ?</t>
        </is>
      </c>
      <c r="N12" s="30" t="inlineStr">
        <is>
          <t>Comprendre son rythme d’expansion.</t>
        </is>
      </c>
    </row>
    <row r="13" ht="41.25" customHeight="1">
      <c r="A13" s="30" t="inlineStr">
        <is>
          <t>Q3A</t>
        </is>
      </c>
      <c r="B13" s="30" t="inlineStr">
        <is>
          <t>Dirigeant</t>
        </is>
      </c>
      <c r="C13" s="30" t="n">
        <v>3</v>
      </c>
      <c r="D13" s="30" t="inlineStr">
        <is>
          <t>Vous devez prendre une décision sans avoir toutes les informations. Que faites-vous ?</t>
        </is>
      </c>
      <c r="E13" s="30" t="inlineStr">
        <is>
          <t>Je m’appuie sur mon expérience pour choisir la direction qui me paraît juste.</t>
        </is>
      </c>
      <c r="F13" s="30" t="inlineStr">
        <is>
          <t>Décision</t>
        </is>
      </c>
      <c r="G13" s="30" t="inlineStr">
        <is>
          <t>Signal déclaré</t>
        </is>
      </c>
      <c r="H13" s="45" t="n">
        <v>0</v>
      </c>
      <c r="I13" s="30" t="inlineStr">
        <is>
          <t>Aucune alerte</t>
        </is>
      </c>
      <c r="J13" s="30" t="inlineStr">
        <is>
          <t>En situation d’incertitude, il s’appuie d’abord sur son expérience.</t>
        </is>
      </c>
      <c r="K13" s="30" t="str"/>
      <c r="L13" s="30" t="inlineStr">
        <is>
          <t>Certaines décisions peuvent dépendre d’informations détenues principalement par le dirigeant.</t>
        </is>
      </c>
      <c r="M13" s="30" t="inlineStr">
        <is>
          <t>Quelles informations restent aujourd’hui difficiles à obtenir sans votre expérience personnelle ?</t>
        </is>
      </c>
      <c r="N13" s="30" t="inlineStr">
        <is>
          <t>Comprendre la dépendance au dirigeant.</t>
        </is>
      </c>
    </row>
    <row r="14" ht="41.25" customHeight="1">
      <c r="A14" s="30" t="inlineStr">
        <is>
          <t>Q3B</t>
        </is>
      </c>
      <c r="B14" s="30" t="inlineStr">
        <is>
          <t>Dirigeant</t>
        </is>
      </c>
      <c r="C14" s="30" t="n">
        <v>3</v>
      </c>
      <c r="D14" s="30" t="inlineStr">
        <is>
          <t>Vous devez prendre une décision sans avoir toutes les informations. Que faites-vous ?</t>
        </is>
      </c>
      <c r="E14" s="30" t="inlineStr">
        <is>
          <t>Je préfère attendre d’avoir des données plus fiables avant de me prononcer.</t>
        </is>
      </c>
      <c r="F14" s="30" t="inlineStr">
        <is>
          <t>Décision</t>
        </is>
      </c>
      <c r="G14" s="30" t="inlineStr">
        <is>
          <t>Signal déclaré</t>
        </is>
      </c>
      <c r="H14" s="45" t="n">
        <v>0</v>
      </c>
      <c r="I14" s="30" t="inlineStr">
        <is>
          <t>Aucune alerte</t>
        </is>
      </c>
      <c r="J14" s="30" t="inlineStr">
        <is>
          <t>En situation d’incertitude, il attend des données plus fiables.</t>
        </is>
      </c>
      <c r="K14" s="30" t="str"/>
      <c r="L14" s="30" t="inlineStr">
        <is>
          <t>L’accès ou la qualité des données peut ralentir certaines décisions.</t>
        </is>
      </c>
      <c r="M14" s="30" t="inlineStr">
        <is>
          <t>Quelles données vous manquent le plus souvent au moment de décider ?</t>
        </is>
      </c>
      <c r="N14" s="30" t="inlineStr">
        <is>
          <t>Identifier les données critiques.</t>
        </is>
      </c>
    </row>
    <row r="15" ht="41.25" customHeight="1">
      <c r="A15" s="30" t="inlineStr">
        <is>
          <t>Q3C</t>
        </is>
      </c>
      <c r="B15" s="30" t="inlineStr">
        <is>
          <t>Dirigeant</t>
        </is>
      </c>
      <c r="C15" s="30" t="n">
        <v>3</v>
      </c>
      <c r="D15" s="30" t="inlineStr">
        <is>
          <t>Vous devez prendre une décision sans avoir toutes les informations. Que faites-vous ?</t>
        </is>
      </c>
      <c r="E15" s="30" t="inlineStr">
        <is>
          <t>Je demande l’avis de personnes capables de compléter ma lecture.</t>
        </is>
      </c>
      <c r="F15" s="30" t="inlineStr">
        <is>
          <t>Décision</t>
        </is>
      </c>
      <c r="G15" s="30" t="inlineStr">
        <is>
          <t>Signal déclaré</t>
        </is>
      </c>
      <c r="H15" s="45" t="n">
        <v>0</v>
      </c>
      <c r="I15" s="30" t="inlineStr">
        <is>
          <t>Aucune alerte</t>
        </is>
      </c>
      <c r="J15" s="30" t="inlineStr">
        <is>
          <t>En situation d’incertitude, il consulte des personnes capables de compléter sa lecture.</t>
        </is>
      </c>
      <c r="K15" s="30" t="str"/>
      <c r="L15" s="30" t="inlineStr">
        <is>
          <t>La décision repose sur la disponibilité et la fiabilité de plusieurs interlocuteurs.</t>
        </is>
      </c>
      <c r="M15" s="30" t="inlineStr">
        <is>
          <t>Comment consolidez-vous les informations reçues de plusieurs personnes ?</t>
        </is>
      </c>
      <c r="N15" s="30" t="inlineStr">
        <is>
          <t>Comprendre la circulation de l’information.</t>
        </is>
      </c>
    </row>
    <row r="16" ht="41.25" customHeight="1">
      <c r="A16" s="30" t="inlineStr">
        <is>
          <t>Q3D</t>
        </is>
      </c>
      <c r="B16" s="30" t="inlineStr">
        <is>
          <t>Dirigeant</t>
        </is>
      </c>
      <c r="C16" s="30" t="n">
        <v>3</v>
      </c>
      <c r="D16" s="30" t="inlineStr">
        <is>
          <t>Vous devez prendre une décision sans avoir toutes les informations. Que faites-vous ?</t>
        </is>
      </c>
      <c r="E16" s="30" t="inlineStr">
        <is>
          <t>Je lance un test limité pour observer ce qui fonctionne réellement.</t>
        </is>
      </c>
      <c r="F16" s="30" t="inlineStr">
        <is>
          <t>Décision</t>
        </is>
      </c>
      <c r="G16" s="30" t="inlineStr">
        <is>
          <t>Signal déclaré</t>
        </is>
      </c>
      <c r="H16" s="45" t="n">
        <v>0</v>
      </c>
      <c r="I16" s="30" t="inlineStr">
        <is>
          <t>Aucune alerte</t>
        </is>
      </c>
      <c r="J16" s="30" t="inlineStr">
        <is>
          <t>En situation d’incertitude, il lance un test limité.</t>
        </is>
      </c>
      <c r="K16" s="30" t="str"/>
      <c r="L16" s="30" t="inlineStr">
        <is>
          <t>Il privilégie l’apprentissage par l’action.</t>
        </is>
      </c>
      <c r="M16" s="30" t="inlineStr">
        <is>
          <t>Comment mesurez-vous les résultats d’un test avant de généraliser ?</t>
        </is>
      </c>
      <c r="N16" s="30" t="inlineStr">
        <is>
          <t>Comprendre sa méthode de validation.</t>
        </is>
      </c>
    </row>
    <row r="17" ht="41.25" customHeight="1">
      <c r="A17" s="30" t="inlineStr">
        <is>
          <t>Q4A</t>
        </is>
      </c>
      <c r="B17" s="30" t="inlineStr">
        <is>
          <t>Dirigeant</t>
        </is>
      </c>
      <c r="C17" s="30" t="n">
        <v>4</v>
      </c>
      <c r="D17" s="30" t="inlineStr">
        <is>
          <t>Comment suivez-vous généralement les ventes réalisées au cours d’une semaine ?</t>
        </is>
      </c>
      <c r="E17" s="30" t="inlineStr">
        <is>
          <t>Je consulte régulièrement un outil qui centralise toutes mes ventes.</t>
        </is>
      </c>
      <c r="F17" s="30" t="inlineStr">
        <is>
          <t>Suivi des ventes</t>
        </is>
      </c>
      <c r="G17" s="30" t="inlineStr">
        <is>
          <t>Force</t>
        </is>
      </c>
      <c r="H17" s="45" t="n">
        <v>0</v>
      </c>
      <c r="I17" s="30" t="inlineStr">
        <is>
          <t>Aucune alerte</t>
        </is>
      </c>
      <c r="J17" s="30" t="inlineStr">
        <is>
          <t>Les ventes sont suivies régulièrement dans un outil centralisé.</t>
        </is>
      </c>
      <c r="K17" s="30" t="str"/>
      <c r="L17" s="30" t="str"/>
      <c r="M17" s="30" t="inlineStr">
        <is>
          <t>Quelles informations consultez-vous le plus souvent dans cet outil ?</t>
        </is>
      </c>
      <c r="N17" s="30" t="inlineStr">
        <is>
          <t>Confirmer la qualité du suivi existant.</t>
        </is>
      </c>
    </row>
    <row r="18" ht="41.25" customHeight="1">
      <c r="A18" s="30" t="inlineStr">
        <is>
          <t>Q4B</t>
        </is>
      </c>
      <c r="B18" s="30" t="inlineStr">
        <is>
          <t>Dirigeant</t>
        </is>
      </c>
      <c r="C18" s="30" t="n">
        <v>4</v>
      </c>
      <c r="D18" s="30" t="inlineStr">
        <is>
          <t>Comment suivez-vous généralement les ventes réalisées au cours d’une semaine ?</t>
        </is>
      </c>
      <c r="E18" s="30" t="inlineStr">
        <is>
          <t>Je note les ventes dans un fichier ou un cahier lorsque j’en ai le temps.</t>
        </is>
      </c>
      <c r="F18" s="30" t="inlineStr">
        <is>
          <t>Suivi des ventes</t>
        </is>
      </c>
      <c r="G18" s="30" t="inlineStr">
        <is>
          <t>Difficulté</t>
        </is>
      </c>
      <c r="H18" s="45" t="n">
        <v>2</v>
      </c>
      <c r="I18" s="30" t="inlineStr">
        <is>
          <t>Modérée</t>
        </is>
      </c>
      <c r="J18" s="30" t="inlineStr">
        <is>
          <t>Les ventes sont notées dans un fichier ou un cahier, mais sans rythme fixe.</t>
        </is>
      </c>
      <c r="K18" s="30" t="inlineStr">
        <is>
          <t>Le suivi des ventes est irrégulier.</t>
        </is>
      </c>
      <c r="L18" s="30" t="inlineStr">
        <is>
          <t>Certaines ventes peuvent être enregistrées tardivement ou être oubliées.</t>
        </is>
      </c>
      <c r="M18" s="30" t="inlineStr">
        <is>
          <t>À quelle fréquence ce fichier ou ce cahier est-il réellement mis à jour ?</t>
        </is>
      </c>
      <c r="N18" s="30" t="inlineStr">
        <is>
          <t>Qualifier la régularité du suivi.</t>
        </is>
      </c>
    </row>
    <row r="19" ht="41.25" customHeight="1">
      <c r="A19" s="30" t="inlineStr">
        <is>
          <t>Q4C</t>
        </is>
      </c>
      <c r="B19" s="30" t="inlineStr">
        <is>
          <t>Dirigeant</t>
        </is>
      </c>
      <c r="C19" s="30" t="n">
        <v>4</v>
      </c>
      <c r="D19" s="30" t="inlineStr">
        <is>
          <t>Comment suivez-vous généralement les ventes réalisées au cours d’une semaine ?</t>
        </is>
      </c>
      <c r="E19" s="30" t="inlineStr">
        <is>
          <t>Je reconstitue les ventes à partir des messages et des paiements reçus.</t>
        </is>
      </c>
      <c r="F19" s="30" t="inlineStr">
        <is>
          <t>Suivi des ventes</t>
        </is>
      </c>
      <c r="G19" s="30" t="inlineStr">
        <is>
          <t>Difficulté</t>
        </is>
      </c>
      <c r="H19" s="45" t="n">
        <v>3</v>
      </c>
      <c r="I19" s="30" t="inlineStr">
        <is>
          <t>Élevée</t>
        </is>
      </c>
      <c r="J19" s="30" t="inlineStr">
        <is>
          <t>Les ventes sont reconstituées à partir des messages et des paiements reçus.</t>
        </is>
      </c>
      <c r="K19" s="30" t="inlineStr">
        <is>
          <t>Il n’existe pas de registre consolidé des ventes disponible immédiatement.</t>
        </is>
      </c>
      <c r="L19" s="30" t="inlineStr">
        <is>
          <t>Le chiffre d’affaires réel d’une période peut être difficile à établir rapidement.</t>
        </is>
      </c>
      <c r="M19" s="30" t="inlineStr">
        <is>
          <t>Combien de temps vous faut-il pour reconstituer une semaine complète de ventes ?</t>
        </is>
      </c>
      <c r="N19" s="30" t="inlineStr">
        <is>
          <t>Mesurer le coût de la reconstitution.</t>
        </is>
      </c>
    </row>
    <row r="20" ht="41.25" customHeight="1">
      <c r="A20" s="30" t="inlineStr">
        <is>
          <t>Q4D</t>
        </is>
      </c>
      <c r="B20" s="30" t="inlineStr">
        <is>
          <t>Dirigeant</t>
        </is>
      </c>
      <c r="C20" s="30" t="n">
        <v>4</v>
      </c>
      <c r="D20" s="30" t="inlineStr">
        <is>
          <t>Comment suivez-vous généralement les ventes réalisées au cours d’une semaine ?</t>
        </is>
      </c>
      <c r="E20" s="30" t="inlineStr">
        <is>
          <t>Je me fie surtout à ce que j’ai vendu et à l’argent encore disponible.</t>
        </is>
      </c>
      <c r="F20" s="30" t="inlineStr">
        <is>
          <t>Suivi des ventes</t>
        </is>
      </c>
      <c r="G20" s="30" t="inlineStr">
        <is>
          <t>Difficulté</t>
        </is>
      </c>
      <c r="H20" s="45" t="n">
        <v>3</v>
      </c>
      <c r="I20" s="30" t="inlineStr">
        <is>
          <t>Élevée</t>
        </is>
      </c>
      <c r="J20" s="30" t="inlineStr">
        <is>
          <t>Le suivi repose principalement sur la mémoire des ventes et l’argent encore disponible.</t>
        </is>
      </c>
      <c r="K20" s="30" t="inlineStr">
        <is>
          <t>Les ventes ne sont pas suivies dans un système formalisé.</t>
        </is>
      </c>
      <c r="L20" s="30" t="inlineStr">
        <is>
          <t>Les ventes réalisées, les encaissements et la trésorerie disponible peuvent être confondus.</t>
        </is>
      </c>
      <c r="M20" s="30" t="inlineStr">
        <is>
          <t>Comment vérifiez-vous qu’aucune vente n’a été oubliée dans votre estimation ?</t>
        </is>
      </c>
      <c r="N20" s="30" t="inlineStr">
        <is>
          <t>Faire préciser la méthode réelle de suivi.</t>
        </is>
      </c>
    </row>
    <row r="21" ht="41.25" customHeight="1">
      <c r="A21" s="30" t="inlineStr">
        <is>
          <t>Q5A</t>
        </is>
      </c>
      <c r="B21" s="30" t="inlineStr">
        <is>
          <t>Dirigeant</t>
        </is>
      </c>
      <c r="C21" s="30" t="n">
        <v>5</v>
      </c>
      <c r="D21" s="30" t="inlineStr">
        <is>
          <t>Le montant encaissé ne correspond pas aux ventes réalisées. Quel est votre premier réflexe ?</t>
        </is>
      </c>
      <c r="E21" s="30" t="inlineStr">
        <is>
          <t>Je consulte l’historique des transactions pour retrouver l’origine de l’écart.</t>
        </is>
      </c>
      <c r="F21" s="30" t="inlineStr">
        <is>
          <t>Écarts d’encaissement</t>
        </is>
      </c>
      <c r="G21" s="30" t="inlineStr">
        <is>
          <t>Force</t>
        </is>
      </c>
      <c r="H21" s="45" t="n">
        <v>0</v>
      </c>
      <c r="I21" s="30" t="inlineStr">
        <is>
          <t>Aucune alerte</t>
        </is>
      </c>
      <c r="J21" s="30" t="inlineStr">
        <is>
          <t>Un écart peut être recherché dans l’historique des transactions.</t>
        </is>
      </c>
      <c r="K21" s="30" t="str"/>
      <c r="L21" s="30" t="str"/>
      <c r="M21" s="30" t="inlineStr">
        <is>
          <t>Combien de temps faut-il généralement pour retrouver l’origine d’un écart ?</t>
        </is>
      </c>
      <c r="N21" s="30" t="inlineStr">
        <is>
          <t>Confirmer la profondeur de la traçabilité.</t>
        </is>
      </c>
    </row>
    <row r="22" ht="41.25" customHeight="1">
      <c r="A22" s="30" t="inlineStr">
        <is>
          <t>Q5B</t>
        </is>
      </c>
      <c r="B22" s="30" t="inlineStr">
        <is>
          <t>Dirigeant</t>
        </is>
      </c>
      <c r="C22" s="30" t="n">
        <v>5</v>
      </c>
      <c r="D22" s="30" t="inlineStr">
        <is>
          <t>Le montant encaissé ne correspond pas aux ventes réalisées. Quel est votre premier réflexe ?</t>
        </is>
      </c>
      <c r="E22" s="30" t="inlineStr">
        <is>
          <t>Je reprends mon registre de ventes pour identifier ce qui manque.</t>
        </is>
      </c>
      <c r="F22" s="30" t="inlineStr">
        <is>
          <t>Écarts d’encaissement</t>
        </is>
      </c>
      <c r="G22" s="30" t="inlineStr">
        <is>
          <t>Difficulté</t>
        </is>
      </c>
      <c r="H22" s="45" t="n">
        <v>1</v>
      </c>
      <c r="I22" s="30" t="inlineStr">
        <is>
          <t>Légère</t>
        </is>
      </c>
      <c r="J22" s="30" t="inlineStr">
        <is>
          <t>L’écart est recherché manuellement dans le registre des ventes.</t>
        </is>
      </c>
      <c r="K22" s="30" t="inlineStr">
        <is>
          <t>L’explication des écarts dépend d’un rapprochement manuel.</t>
        </is>
      </c>
      <c r="L22" s="30" t="inlineStr">
        <is>
          <t>La recherche peut devenir lente lorsque le volume de ventes augmente.</t>
        </is>
      </c>
      <c r="M22" s="30" t="inlineStr">
        <is>
          <t>Quelles informations rapprochez-vous pour identifier ce qui manque ?</t>
        </is>
      </c>
      <c r="N22" s="30" t="inlineStr">
        <is>
          <t>Comprendre le rapprochement existant.</t>
        </is>
      </c>
    </row>
    <row r="23" ht="41.25" customHeight="1">
      <c r="A23" s="30" t="inlineStr">
        <is>
          <t>Q5C</t>
        </is>
      </c>
      <c r="B23" s="30" t="inlineStr">
        <is>
          <t>Dirigeant</t>
        </is>
      </c>
      <c r="C23" s="30" t="n">
        <v>5</v>
      </c>
      <c r="D23" s="30" t="inlineStr">
        <is>
          <t>Le montant encaissé ne correspond pas aux ventes réalisées. Quel est votre premier réflexe ?</t>
        </is>
      </c>
      <c r="E23" s="30" t="inlineStr">
        <is>
          <t>Je demande des explications aux personnes qui ont encaissé.</t>
        </is>
      </c>
      <c r="F23" s="30" t="inlineStr">
        <is>
          <t>Écarts d’encaissement</t>
        </is>
      </c>
      <c r="G23" s="30" t="inlineStr">
        <is>
          <t>Difficulté</t>
        </is>
      </c>
      <c r="H23" s="45" t="n">
        <v>2</v>
      </c>
      <c r="I23" s="30" t="inlineStr">
        <is>
          <t>Modérée</t>
        </is>
      </c>
      <c r="J23" s="30" t="inlineStr">
        <is>
          <t>L’explication d’un écart dépend d’abord des personnes ayant encaissé.</t>
        </is>
      </c>
      <c r="K23" s="30" t="inlineStr">
        <is>
          <t>La traçabilité dépend des explications de l’équipe.</t>
        </is>
      </c>
      <c r="L23" s="30" t="inlineStr">
        <is>
          <t>Il peut être difficile de distinguer une erreur, un oubli ou un encaissement non déclaré.</t>
        </is>
      </c>
      <c r="M23" s="30" t="inlineStr">
        <is>
          <t>Quelles preuves pouvez-vous consulter lorsque les explications ne concordent pas ?</t>
        </is>
      </c>
      <c r="N23" s="30" t="inlineStr">
        <is>
          <t>Tester la traçabilité indépendante de l’équipe.</t>
        </is>
      </c>
    </row>
    <row r="24" ht="41.25" customHeight="1">
      <c r="A24" s="30" t="inlineStr">
        <is>
          <t>Q5D</t>
        </is>
      </c>
      <c r="B24" s="30" t="inlineStr">
        <is>
          <t>Dirigeant</t>
        </is>
      </c>
      <c r="C24" s="30" t="n">
        <v>5</v>
      </c>
      <c r="D24" s="30" t="inlineStr">
        <is>
          <t>Le montant encaissé ne correspond pas aux ventes réalisées. Quel est votre premier réflexe ?</t>
        </is>
      </c>
      <c r="E24" s="30" t="inlineStr">
        <is>
          <t>Je n’ai pas toujours les éléments nécessaires pour expliquer immédiatement l’écart.</t>
        </is>
      </c>
      <c r="F24" s="30" t="inlineStr">
        <is>
          <t>Écarts d’encaissement</t>
        </is>
      </c>
      <c r="G24" s="30" t="inlineStr">
        <is>
          <t>Difficulté</t>
        </is>
      </c>
      <c r="H24" s="45" t="n">
        <v>3</v>
      </c>
      <c r="I24" s="30" t="inlineStr">
        <is>
          <t>Élevée</t>
        </is>
      </c>
      <c r="J24" s="30" t="inlineStr">
        <is>
          <t>Les éléments disponibles ne permettent pas d’expliquer immédiatement un écart.</t>
        </is>
      </c>
      <c r="K24" s="30" t="inlineStr">
        <is>
          <t>Certains écarts d’encaissement restent difficiles à retracer.</t>
        </is>
      </c>
      <c r="L24" s="30" t="inlineStr">
        <is>
          <t>Des ventes ou paiements peuvent rester sans explication fiable.</t>
        </is>
      </c>
      <c r="M24" s="30" t="inlineStr">
        <is>
          <t>Quel est le dernier écart que vous n’avez pas pu expliquer complètement ?</t>
        </is>
      </c>
      <c r="N24" s="30" t="inlineStr">
        <is>
          <t>Obtenir un exemple concret d’écart.</t>
        </is>
      </c>
    </row>
    <row r="25" ht="41.25" customHeight="1">
      <c r="A25" s="30" t="inlineStr">
        <is>
          <t>Q6A</t>
        </is>
      </c>
      <c r="B25" s="30" t="inlineStr">
        <is>
          <t>Dirigeant</t>
        </is>
      </c>
      <c r="C25" s="30" t="n">
        <v>6</v>
      </c>
      <c r="D25" s="30" t="inlineStr">
        <is>
          <t>Vos clients utilisent plusieurs moyens de paiement. Comment gardez-vous une vue d’ensemble ?</t>
        </is>
      </c>
      <c r="E25" s="30" t="inlineStr">
        <is>
          <t>Je consulte un tableau de bord qui regroupe tous les paiements reçus.</t>
        </is>
      </c>
      <c r="F25" s="30" t="inlineStr">
        <is>
          <t>Centralisation des paiements</t>
        </is>
      </c>
      <c r="G25" s="30" t="inlineStr">
        <is>
          <t>Force</t>
        </is>
      </c>
      <c r="H25" s="45" t="n">
        <v>0</v>
      </c>
      <c r="I25" s="30" t="inlineStr">
        <is>
          <t>Aucune alerte</t>
        </is>
      </c>
      <c r="J25" s="30" t="inlineStr">
        <is>
          <t>Tous les paiements reçus sont visibles dans un tableau de bord unique.</t>
        </is>
      </c>
      <c r="K25" s="30" t="str"/>
      <c r="L25" s="30" t="str"/>
      <c r="M25" s="30" t="inlineStr">
        <is>
          <t>Quels moyens de paiement sont effectivement couverts par cette vue ?</t>
        </is>
      </c>
      <c r="N25" s="30" t="inlineStr">
        <is>
          <t>Confirmer le périmètre de centralisation.</t>
        </is>
      </c>
    </row>
    <row r="26" ht="41.25" customHeight="1">
      <c r="A26" s="30" t="inlineStr">
        <is>
          <t>Q6B</t>
        </is>
      </c>
      <c r="B26" s="30" t="inlineStr">
        <is>
          <t>Dirigeant</t>
        </is>
      </c>
      <c r="C26" s="30" t="n">
        <v>6</v>
      </c>
      <c r="D26" s="30" t="inlineStr">
        <is>
          <t>Vos clients utilisent plusieurs moyens de paiement. Comment gardez-vous une vue d’ensemble ?</t>
        </is>
      </c>
      <c r="E26" s="30" t="inlineStr">
        <is>
          <t>Je vérifie séparément le solde de chaque moyen de paiement.</t>
        </is>
      </c>
      <c r="F26" s="30" t="inlineStr">
        <is>
          <t>Centralisation des paiements</t>
        </is>
      </c>
      <c r="G26" s="30" t="inlineStr">
        <is>
          <t>Difficulté</t>
        </is>
      </c>
      <c r="H26" s="45" t="n">
        <v>1</v>
      </c>
      <c r="I26" s="30" t="inlineStr">
        <is>
          <t>Légère</t>
        </is>
      </c>
      <c r="J26" s="30" t="inlineStr">
        <is>
          <t>Chaque moyen de paiement est consulté séparément.</t>
        </is>
      </c>
      <c r="K26" s="30" t="inlineStr">
        <is>
          <t>La vue des encaissements est fragmentée entre plusieurs canaux.</t>
        </is>
      </c>
      <c r="L26" s="30" t="inlineStr">
        <is>
          <t>Obtenir un total fiable nécessite plusieurs vérifications.</t>
        </is>
      </c>
      <c r="M26" s="30" t="inlineStr">
        <is>
          <t>Combien de comptes ou d’interfaces devez-vous consulter pour faire un point complet ?</t>
        </is>
      </c>
      <c r="N26" s="30" t="inlineStr">
        <is>
          <t>Mesurer la dispersion des paiements.</t>
        </is>
      </c>
    </row>
    <row r="27" ht="41.25" customHeight="1">
      <c r="A27" s="30" t="inlineStr">
        <is>
          <t>Q6C</t>
        </is>
      </c>
      <c r="B27" s="30" t="inlineStr">
        <is>
          <t>Dirigeant</t>
        </is>
      </c>
      <c r="C27" s="30" t="n">
        <v>6</v>
      </c>
      <c r="D27" s="30" t="inlineStr">
        <is>
          <t>Vos clients utilisent plusieurs moyens de paiement. Comment gardez-vous une vue d’ensemble ?</t>
        </is>
      </c>
      <c r="E27" s="30" t="inlineStr">
        <is>
          <t>Je regroupe manuellement les différents montants à certains moments.</t>
        </is>
      </c>
      <c r="F27" s="30" t="inlineStr">
        <is>
          <t>Centralisation des paiements</t>
        </is>
      </c>
      <c r="G27" s="30" t="inlineStr">
        <is>
          <t>Difficulté</t>
        </is>
      </c>
      <c r="H27" s="45" t="n">
        <v>2</v>
      </c>
      <c r="I27" s="30" t="inlineStr">
        <is>
          <t>Modérée</t>
        </is>
      </c>
      <c r="J27" s="30" t="inlineStr">
        <is>
          <t>Les montants des différents moyens de paiement sont regroupés manuellement.</t>
        </is>
      </c>
      <c r="K27" s="30" t="inlineStr">
        <is>
          <t>La consolidation des encaissements dépend d’un travail manuel.</t>
        </is>
      </c>
      <c r="L27" s="30" t="inlineStr">
        <is>
          <t>Le point global peut être tardif et exposé aux erreurs de saisie.</t>
        </is>
      </c>
      <c r="M27" s="30" t="inlineStr">
        <is>
          <t>Qui réalise cette consolidation et à quelle fréquence ?</t>
        </is>
      </c>
      <c r="N27" s="30" t="inlineStr">
        <is>
          <t>Qualifier le coût de consolidation.</t>
        </is>
      </c>
    </row>
    <row r="28" ht="41.25" customHeight="1">
      <c r="A28" s="30" t="inlineStr">
        <is>
          <t>Q6D</t>
        </is>
      </c>
      <c r="B28" s="30" t="inlineStr">
        <is>
          <t>Dirigeant</t>
        </is>
      </c>
      <c r="C28" s="30" t="n">
        <v>6</v>
      </c>
      <c r="D28" s="30" t="inlineStr">
        <is>
          <t>Vos clients utilisent plusieurs moyens de paiement. Comment gardez-vous une vue d’ensemble ?</t>
        </is>
      </c>
      <c r="E28" s="30" t="inlineStr">
        <is>
          <t>Je me base principalement sur les notifications reçues au fil des paiements.</t>
        </is>
      </c>
      <c r="F28" s="30" t="inlineStr">
        <is>
          <t>Centralisation des paiements</t>
        </is>
      </c>
      <c r="G28" s="30" t="inlineStr">
        <is>
          <t>Difficulté</t>
        </is>
      </c>
      <c r="H28" s="45" t="n">
        <v>3</v>
      </c>
      <c r="I28" s="30" t="inlineStr">
        <is>
          <t>Élevée</t>
        </is>
      </c>
      <c r="J28" s="30" t="inlineStr">
        <is>
          <t>La vue d’ensemble repose surtout sur les notifications reçues.</t>
        </is>
      </c>
      <c r="K28" s="30" t="inlineStr">
        <is>
          <t>Il n’existe pas de suivi consolidé fiable des paiements.</t>
        </is>
      </c>
      <c r="L28" s="30" t="inlineStr">
        <is>
          <t>Des notifications manquées ou difficiles à rapprocher peuvent fausser la lecture des encaissements.</t>
        </is>
      </c>
      <c r="M28" s="30" t="inlineStr">
        <is>
          <t>Comment faites-vous lorsqu’une notification n’arrive pas ou n’est plus disponible ?</t>
        </is>
      </c>
      <c r="N28" s="30" t="inlineStr">
        <is>
          <t>Identifier la dépendance aux notifications.</t>
        </is>
      </c>
    </row>
    <row r="29" ht="41.25" customHeight="1">
      <c r="A29" s="30" t="inlineStr">
        <is>
          <t>Q7A</t>
        </is>
      </c>
      <c r="B29" s="30" t="inlineStr">
        <is>
          <t>Dirigeant</t>
        </is>
      </c>
      <c r="C29" s="30" t="n">
        <v>7</v>
      </c>
      <c r="D29" s="30" t="inlineStr">
        <is>
          <t>À quel moment savez-vous réellement ce que votre entreprise peut dépenser ?</t>
        </is>
      </c>
      <c r="E29" s="30" t="inlineStr">
        <is>
          <t>Je peux consulter ma trésorerie disponible à tout moment.</t>
        </is>
      </c>
      <c r="F29" s="30" t="inlineStr">
        <is>
          <t>Trésorerie</t>
        </is>
      </c>
      <c r="G29" s="30" t="inlineStr">
        <is>
          <t>Force</t>
        </is>
      </c>
      <c r="H29" s="45" t="n">
        <v>0</v>
      </c>
      <c r="I29" s="30" t="inlineStr">
        <is>
          <t>Aucune alerte</t>
        </is>
      </c>
      <c r="J29" s="30" t="inlineStr">
        <is>
          <t>La trésorerie disponible peut être consultée à tout moment.</t>
        </is>
      </c>
      <c r="K29" s="30" t="str"/>
      <c r="L29" s="30" t="str"/>
      <c r="M29" s="30" t="inlineStr">
        <is>
          <t>Cette vue tient-elle compte des dépenses engagées et des paiements attendus ?</t>
        </is>
      </c>
      <c r="N29" s="30" t="inlineStr">
        <is>
          <t>Confirmer la qualité de la visibilité.</t>
        </is>
      </c>
    </row>
    <row r="30" ht="41.25" customHeight="1">
      <c r="A30" s="30" t="inlineStr">
        <is>
          <t>Q7B</t>
        </is>
      </c>
      <c r="B30" s="30" t="inlineStr">
        <is>
          <t>Dirigeant</t>
        </is>
      </c>
      <c r="C30" s="30" t="n">
        <v>7</v>
      </c>
      <c r="D30" s="30" t="inlineStr">
        <is>
          <t>À quel moment savez-vous réellement ce que votre entreprise peut dépenser ?</t>
        </is>
      </c>
      <c r="E30" s="30" t="inlineStr">
        <is>
          <t>Je le sais après avoir fait un point périodique sur mes entrées et mes sorties.</t>
        </is>
      </c>
      <c r="F30" s="30" t="inlineStr">
        <is>
          <t>Trésorerie</t>
        </is>
      </c>
      <c r="G30" s="30" t="inlineStr">
        <is>
          <t>Difficulté</t>
        </is>
      </c>
      <c r="H30" s="45" t="n">
        <v>1</v>
      </c>
      <c r="I30" s="30" t="inlineStr">
        <is>
          <t>Légère</t>
        </is>
      </c>
      <c r="J30" s="30" t="inlineStr">
        <is>
          <t>La trésorerie est connue après un point périodique sur les entrées et sorties.</t>
        </is>
      </c>
      <c r="K30" s="30" t="inlineStr">
        <is>
          <t>La visibilité sur la trésorerie n’est pas continue.</t>
        </is>
      </c>
      <c r="L30" s="30" t="inlineStr">
        <is>
          <t>Une décision prise entre deux points peut reposer sur une information ancienne.</t>
        </is>
      </c>
      <c r="M30" s="30" t="inlineStr">
        <is>
          <t>À quelle fréquence réalisez-vous ce point et que se passe-t-il entre deux contrôles ?</t>
        </is>
      </c>
      <c r="N30" s="30" t="inlineStr">
        <is>
          <t>Mesurer le délai d’information.</t>
        </is>
      </c>
    </row>
    <row r="31" ht="41.25" customHeight="1">
      <c r="A31" s="30" t="inlineStr">
        <is>
          <t>Q7C</t>
        </is>
      </c>
      <c r="B31" s="30" t="inlineStr">
        <is>
          <t>Dirigeant</t>
        </is>
      </c>
      <c r="C31" s="30" t="n">
        <v>7</v>
      </c>
      <c r="D31" s="30" t="inlineStr">
        <is>
          <t>À quel moment savez-vous réellement ce que votre entreprise peut dépenser ?</t>
        </is>
      </c>
      <c r="E31" s="30" t="inlineStr">
        <is>
          <t>Je me fie au solde visible sur mes comptes au moment de décider.</t>
        </is>
      </c>
      <c r="F31" s="30" t="inlineStr">
        <is>
          <t>Trésorerie</t>
        </is>
      </c>
      <c r="G31" s="30" t="inlineStr">
        <is>
          <t>Difficulté</t>
        </is>
      </c>
      <c r="H31" s="45" t="n">
        <v>2</v>
      </c>
      <c r="I31" s="30" t="inlineStr">
        <is>
          <t>Modérée</t>
        </is>
      </c>
      <c r="J31" s="30" t="inlineStr">
        <is>
          <t>La décision de dépenser repose sur le solde visible des comptes.</t>
        </is>
      </c>
      <c r="K31" s="30" t="inlineStr">
        <is>
          <t>Le solde des comptes sert de principale mesure de trésorerie disponible.</t>
        </is>
      </c>
      <c r="L31" s="30" t="inlineStr">
        <is>
          <t>Les charges à venir ou les montants déjà engagés peuvent ne pas être pris en compte.</t>
        </is>
      </c>
      <c r="M31" s="30" t="inlineStr">
        <is>
          <t>Comment tenez-vous compte des dépenses déjà engagées mais pas encore débitées ?</t>
        </is>
      </c>
      <c r="N31" s="30" t="inlineStr">
        <is>
          <t>Distinguer solde et trésorerie réellement disponible.</t>
        </is>
      </c>
    </row>
    <row r="32" ht="41.25" customHeight="1">
      <c r="A32" s="30" t="inlineStr">
        <is>
          <t>Q7D</t>
        </is>
      </c>
      <c r="B32" s="30" t="inlineStr">
        <is>
          <t>Dirigeant</t>
        </is>
      </c>
      <c r="C32" s="30" t="n">
        <v>7</v>
      </c>
      <c r="D32" s="30" t="inlineStr">
        <is>
          <t>À quel moment savez-vous réellement ce que votre entreprise peut dépenser ?</t>
        </is>
      </c>
      <c r="E32" s="30" t="inlineStr">
        <is>
          <t>Je le découvre surtout lorsqu’une dépense importante doit être réglée.</t>
        </is>
      </c>
      <c r="F32" s="30" t="inlineStr">
        <is>
          <t>Trésorerie</t>
        </is>
      </c>
      <c r="G32" s="30" t="inlineStr">
        <is>
          <t>Difficulté</t>
        </is>
      </c>
      <c r="H32" s="45" t="n">
        <v>3</v>
      </c>
      <c r="I32" s="30" t="inlineStr">
        <is>
          <t>Élevée</t>
        </is>
      </c>
      <c r="J32" s="30" t="inlineStr">
        <is>
          <t>La capacité à dépenser est découverte lorsqu’une dépense importante arrive.</t>
        </is>
      </c>
      <c r="K32" s="30" t="inlineStr">
        <is>
          <t>La trésorerie n’est pas anticipée.</t>
        </is>
      </c>
      <c r="L32" s="30" t="inlineStr">
        <is>
          <t>Certaines échéances peuvent créer des tensions inattendues.</t>
        </is>
      </c>
      <c r="M32" s="30" t="inlineStr">
        <is>
          <t>Quelle dépense vous a récemment obligé à reconstituer votre situation financière en urgence ?</t>
        </is>
      </c>
      <c r="N32" s="30" t="inlineStr">
        <is>
          <t>Faire émerger les tensions de trésorerie.</t>
        </is>
      </c>
    </row>
    <row r="33" ht="41.25" customHeight="1">
      <c r="A33" s="30" t="inlineStr">
        <is>
          <t>Q8A</t>
        </is>
      </c>
      <c r="B33" s="30" t="inlineStr">
        <is>
          <t>Dirigeant</t>
        </is>
      </c>
      <c r="C33" s="30" t="n">
        <v>8</v>
      </c>
      <c r="D33" s="30" t="inlineStr">
        <is>
          <t>Lorsque vient le moment de faire la comptabilité, dans quel état se trouvent vos informations ?</t>
        </is>
      </c>
      <c r="E33" s="30" t="inlineStr">
        <is>
          <t>Mes opérations sont déjà enregistrées et peuvent être consultées rapidement.</t>
        </is>
      </c>
      <c r="F33" s="30" t="inlineStr">
        <is>
          <t>Comptabilité</t>
        </is>
      </c>
      <c r="G33" s="30" t="inlineStr">
        <is>
          <t>Force</t>
        </is>
      </c>
      <c r="H33" s="45" t="n">
        <v>0</v>
      </c>
      <c r="I33" s="30" t="inlineStr">
        <is>
          <t>Aucune alerte</t>
        </is>
      </c>
      <c r="J33" s="30" t="inlineStr">
        <is>
          <t>Les opérations sont déjà enregistrées et rapidement consultables au moment de la comptabilité.</t>
        </is>
      </c>
      <c r="K33" s="30" t="str"/>
      <c r="L33" s="30" t="str"/>
      <c r="M33" s="30" t="inlineStr">
        <is>
          <t>À quelle fréquence ces opérations sont-elles mises à jour ?</t>
        </is>
      </c>
      <c r="N33" s="30" t="inlineStr">
        <is>
          <t>Confirmer la disponibilité des données.</t>
        </is>
      </c>
    </row>
    <row r="34" ht="41.25" customHeight="1">
      <c r="A34" s="30" t="inlineStr">
        <is>
          <t>Q8B</t>
        </is>
      </c>
      <c r="B34" s="30" t="inlineStr">
        <is>
          <t>Dirigeant</t>
        </is>
      </c>
      <c r="C34" s="30" t="n">
        <v>8</v>
      </c>
      <c r="D34" s="30" t="inlineStr">
        <is>
          <t>Lorsque vient le moment de faire la comptabilité, dans quel état se trouvent vos informations ?</t>
        </is>
      </c>
      <c r="E34" s="30" t="inlineStr">
        <is>
          <t>Mes justificatifs sont conservés, mais je dois encore les organiser.</t>
        </is>
      </c>
      <c r="F34" s="30" t="inlineStr">
        <is>
          <t>Comptabilité</t>
        </is>
      </c>
      <c r="G34" s="30" t="inlineStr">
        <is>
          <t>Difficulté</t>
        </is>
      </c>
      <c r="H34" s="45" t="n">
        <v>1</v>
      </c>
      <c r="I34" s="30" t="inlineStr">
        <is>
          <t>Légère</t>
        </is>
      </c>
      <c r="J34" s="30" t="inlineStr">
        <is>
          <t>Les justificatifs existent, mais doivent encore être organisés.</t>
        </is>
      </c>
      <c r="K34" s="30" t="inlineStr">
        <is>
          <t>La préparation comptable nécessite un travail de classement.</t>
        </is>
      </c>
      <c r="L34" s="30" t="inlineStr">
        <is>
          <t>Des justificatifs peuvent être difficiles à rattacher aux bonnes opérations.</t>
        </is>
      </c>
      <c r="M34" s="30" t="inlineStr">
        <is>
          <t>Comment reliez-vous chaque justificatif au paiement ou à la vente correspondante ?</t>
        </is>
      </c>
      <c r="N34" s="30" t="inlineStr">
        <is>
          <t>Comprendre l’organisation documentaire.</t>
        </is>
      </c>
    </row>
    <row r="35" ht="41.25" customHeight="1">
      <c r="A35" s="30" t="inlineStr">
        <is>
          <t>Q8C</t>
        </is>
      </c>
      <c r="B35" s="30" t="inlineStr">
        <is>
          <t>Dirigeant</t>
        </is>
      </c>
      <c r="C35" s="30" t="n">
        <v>8</v>
      </c>
      <c r="D35" s="30" t="inlineStr">
        <is>
          <t>Lorsque vient le moment de faire la comptabilité, dans quel état se trouvent vos informations ?</t>
        </is>
      </c>
      <c r="E35" s="30" t="inlineStr">
        <is>
          <t>Je rassemble les informations nécessaires à l’approche de l’échéance.</t>
        </is>
      </c>
      <c r="F35" s="30" t="inlineStr">
        <is>
          <t>Comptabilité</t>
        </is>
      </c>
      <c r="G35" s="30" t="inlineStr">
        <is>
          <t>Difficulté</t>
        </is>
      </c>
      <c r="H35" s="45" t="n">
        <v>2</v>
      </c>
      <c r="I35" s="30" t="inlineStr">
        <is>
          <t>Modérée</t>
        </is>
      </c>
      <c r="J35" s="30" t="inlineStr">
        <is>
          <t>Les informations sont rassemblées à l’approche de l’échéance comptable.</t>
        </is>
      </c>
      <c r="K35" s="30" t="inlineStr">
        <is>
          <t>La préparation comptable est tardive.</t>
        </is>
      </c>
      <c r="L35" s="30" t="inlineStr">
        <is>
          <t>Les erreurs ou informations manquantes sont découvertes au dernier moment.</t>
        </is>
      </c>
      <c r="M35" s="30" t="inlineStr">
        <is>
          <t>Combien de jours sont consacrés à rassembler les informations avant l’échéance ?</t>
        </is>
      </c>
      <c r="N35" s="30" t="inlineStr">
        <is>
          <t>Mesurer la charge de préparation.</t>
        </is>
      </c>
    </row>
    <row r="36" ht="41.25" customHeight="1">
      <c r="A36" s="30" t="inlineStr">
        <is>
          <t>Q8D</t>
        </is>
      </c>
      <c r="B36" s="30" t="inlineStr">
        <is>
          <t>Dirigeant</t>
        </is>
      </c>
      <c r="C36" s="30" t="n">
        <v>8</v>
      </c>
      <c r="D36" s="30" t="inlineStr">
        <is>
          <t>Lorsque vient le moment de faire la comptabilité, dans quel état se trouvent vos informations ?</t>
        </is>
      </c>
      <c r="E36" s="30" t="inlineStr">
        <is>
          <t>Je dois souvent reconstituer certaines opérations après leur réalisation.</t>
        </is>
      </c>
      <c r="F36" s="30" t="inlineStr">
        <is>
          <t>Comptabilité</t>
        </is>
      </c>
      <c r="G36" s="30" t="inlineStr">
        <is>
          <t>Difficulté</t>
        </is>
      </c>
      <c r="H36" s="45" t="n">
        <v>3</v>
      </c>
      <c r="I36" s="30" t="inlineStr">
        <is>
          <t>Élevée</t>
        </is>
      </c>
      <c r="J36" s="30" t="inlineStr">
        <is>
          <t>Certaines opérations doivent être reconstituées après leur réalisation.</t>
        </is>
      </c>
      <c r="K36" s="30" t="inlineStr">
        <is>
          <t>La comptabilité dépend de reconstitutions a posteriori.</t>
        </is>
      </c>
      <c r="L36" s="30" t="inlineStr">
        <is>
          <t>Des opérations peuvent rester mal documentées ou être enregistrées avec retard.</t>
        </is>
      </c>
      <c r="M36" s="30" t="inlineStr">
        <is>
          <t>Quelles opérations sont les plus difficiles à reconstituer en fin de période ?</t>
        </is>
      </c>
      <c r="N36" s="30" t="inlineStr">
        <is>
          <t>Identifier les principales pertes d’information.</t>
        </is>
      </c>
    </row>
    <row r="37" ht="41.25" customHeight="1">
      <c r="A37" s="30" t="inlineStr">
        <is>
          <t>Q9A</t>
        </is>
      </c>
      <c r="B37" s="30" t="inlineStr">
        <is>
          <t>Dirigeant</t>
        </is>
      </c>
      <c r="C37" s="30" t="n">
        <v>9</v>
      </c>
      <c r="D37" s="30" t="inlineStr">
        <is>
          <t>Lorsque d’autres personnes encaissent pour votre entreprise, comment suivez-vous leur activité ?</t>
        </is>
      </c>
      <c r="E37" s="30" t="inlineStr">
        <is>
          <t>Chaque encaissement peut être rattaché à une vente et à la personne concernée.</t>
        </is>
      </c>
      <c r="F37" s="30" t="inlineStr">
        <is>
          <t>Délégation des encaissements</t>
        </is>
      </c>
      <c r="G37" s="30" t="inlineStr">
        <is>
          <t>Force</t>
        </is>
      </c>
      <c r="H37" s="45" t="n">
        <v>0</v>
      </c>
      <c r="I37" s="30" t="inlineStr">
        <is>
          <t>Aucune alerte</t>
        </is>
      </c>
      <c r="J37" s="30" t="inlineStr">
        <is>
          <t>Chaque encaissement peut être relié à une vente et à la personne concernée.</t>
        </is>
      </c>
      <c r="K37" s="30" t="str"/>
      <c r="L37" s="30" t="str"/>
      <c r="M37" s="30" t="inlineStr">
        <is>
          <t>Comment contrôlez-vous les écarts par personne ou par point de vente ?</t>
        </is>
      </c>
      <c r="N37" s="30" t="inlineStr">
        <is>
          <t>Confirmer le niveau de contrôle.</t>
        </is>
      </c>
    </row>
    <row r="38" ht="41.25" customHeight="1">
      <c r="A38" s="30" t="inlineStr">
        <is>
          <t>Q9B</t>
        </is>
      </c>
      <c r="B38" s="30" t="inlineStr">
        <is>
          <t>Dirigeant</t>
        </is>
      </c>
      <c r="C38" s="30" t="n">
        <v>9</v>
      </c>
      <c r="D38" s="30" t="inlineStr">
        <is>
          <t>Lorsque d’autres personnes encaissent pour votre entreprise, comment suivez-vous leur activité ?</t>
        </is>
      </c>
      <c r="E38" s="30" t="inlineStr">
        <is>
          <t>Les personnes concernées enregistrent leurs encaissements dans un support commun.</t>
        </is>
      </c>
      <c r="F38" s="30" t="inlineStr">
        <is>
          <t>Délégation des encaissements</t>
        </is>
      </c>
      <c r="G38" s="30" t="inlineStr">
        <is>
          <t>Difficulté</t>
        </is>
      </c>
      <c r="H38" s="45" t="n">
        <v>1</v>
      </c>
      <c r="I38" s="30" t="inlineStr">
        <is>
          <t>Légère</t>
        </is>
      </c>
      <c r="J38" s="30" t="inlineStr">
        <is>
          <t>Les collaborateurs enregistrent leurs encaissements dans un support commun.</t>
        </is>
      </c>
      <c r="K38" s="30" t="inlineStr">
        <is>
          <t>Le contrôle dépend de la qualité de mise à jour d’un support partagé.</t>
        </is>
      </c>
      <c r="L38" s="30" t="inlineStr">
        <is>
          <t>Un encaissement mal saisi peut être difficile à attribuer ensuite.</t>
        </is>
      </c>
      <c r="M38" s="30" t="inlineStr">
        <is>
          <t>Le support permet-il d’identifier automatiquement la personne, l’heure et la vente concernée ?</t>
        </is>
      </c>
      <c r="N38" s="30" t="inlineStr">
        <is>
          <t>Vérifier la granularité du suivi.</t>
        </is>
      </c>
    </row>
    <row r="39" ht="41.25" customHeight="1">
      <c r="A39" s="30" t="inlineStr">
        <is>
          <t>Q9C</t>
        </is>
      </c>
      <c r="B39" s="30" t="inlineStr">
        <is>
          <t>Dirigeant</t>
        </is>
      </c>
      <c r="C39" s="30" t="n">
        <v>9</v>
      </c>
      <c r="D39" s="30" t="inlineStr">
        <is>
          <t>Lorsque d’autres personnes encaissent pour votre entreprise, comment suivez-vous leur activité ?</t>
        </is>
      </c>
      <c r="E39" s="30" t="inlineStr">
        <is>
          <t>Je reçois principalement un point oral ou un montant global en fin de journée.</t>
        </is>
      </c>
      <c r="F39" s="30" t="inlineStr">
        <is>
          <t>Délégation des encaissements</t>
        </is>
      </c>
      <c r="G39" s="30" t="inlineStr">
        <is>
          <t>Difficulté</t>
        </is>
      </c>
      <c r="H39" s="45" t="n">
        <v>3</v>
      </c>
      <c r="I39" s="30" t="inlineStr">
        <is>
          <t>Élevée</t>
        </is>
      </c>
      <c r="J39" s="30" t="inlineStr">
        <is>
          <t>Le suivi repose surtout sur un point oral ou un montant global en fin de journée.</t>
        </is>
      </c>
      <c r="K39" s="30" t="inlineStr">
        <is>
          <t>Les encaissements délégués manquent de traçabilité détaillée.</t>
        </is>
      </c>
      <c r="L39" s="30" t="inlineStr">
        <is>
          <t>Des ventes non déclarées, erreurs ou détournements peuvent être difficiles à identifier.</t>
        </is>
      </c>
      <c r="M39" s="30" t="inlineStr">
        <is>
          <t>Comment vérifiez-vous le montant annoncé lorsqu’il ne correspond pas aux ventes ?</t>
        </is>
      </c>
      <c r="N39" s="30" t="inlineStr">
        <is>
          <t>Faire préciser les contrôles réels.</t>
        </is>
      </c>
    </row>
    <row r="40" ht="41.25" customHeight="1">
      <c r="A40" s="30" t="inlineStr">
        <is>
          <t>Q9D</t>
        </is>
      </c>
      <c r="B40" s="30" t="inlineStr">
        <is>
          <t>Dirigeant</t>
        </is>
      </c>
      <c r="C40" s="30" t="n">
        <v>9</v>
      </c>
      <c r="D40" s="30" t="inlineStr">
        <is>
          <t>Lorsque d’autres personnes encaissent pour votre entreprise, comment suivez-vous leur activité ?</t>
        </is>
      </c>
      <c r="E40" s="30" t="inlineStr">
        <is>
          <t>Pour le moment, je suis la seule personne à encaisser dans mon entreprise.</t>
        </is>
      </c>
      <c r="F40" s="30" t="inlineStr">
        <is>
          <t>Délégation des encaissements</t>
        </is>
      </c>
      <c r="G40" s="30" t="inlineStr">
        <is>
          <t>Contexte</t>
        </is>
      </c>
      <c r="H40" s="45" t="n">
        <v>0</v>
      </c>
      <c r="I40" s="30" t="inlineStr">
        <is>
          <t>Aucune alerte</t>
        </is>
      </c>
      <c r="J40" s="30" t="inlineStr">
        <is>
          <t>Le dirigeant est actuellement la seule personne à encaisser.</t>
        </is>
      </c>
      <c r="K40" s="30" t="str"/>
      <c r="L40" s="30" t="inlineStr">
        <is>
          <t>La délégation n’est pas encore un sujet observable dans la situation actuelle.</t>
        </is>
      </c>
      <c r="M40" s="30" t="inlineStr">
        <is>
          <t>Prévoyez-vous que d’autres personnes encaissent prochainement ?</t>
        </is>
      </c>
      <c r="N40" s="30" t="inlineStr">
        <is>
          <t>Identifier un éventuel besoin futur sans pénaliser le score.</t>
        </is>
      </c>
    </row>
    <row r="41" ht="41.25" customHeight="1">
      <c r="A41" s="30" t="inlineStr">
        <is>
          <t>Q10A</t>
        </is>
      </c>
      <c r="B41" s="30" t="inlineStr">
        <is>
          <t>Dirigeant</t>
        </is>
      </c>
      <c r="C41" s="30" t="n">
        <v>10</v>
      </c>
      <c r="D41" s="30" t="inlineStr">
        <is>
          <t>Lorsqu’un client souhaite vous payer à distance, comment procédez-vous généralement ?</t>
        </is>
      </c>
      <c r="E41" s="30" t="inlineStr">
        <is>
          <t>Je lui transmets un lien ou une page de paiement prévue à cet effet.</t>
        </is>
      </c>
      <c r="F41" s="30" t="inlineStr">
        <is>
          <t>Paiement à distance</t>
        </is>
      </c>
      <c r="G41" s="30" t="inlineStr">
        <is>
          <t>Force</t>
        </is>
      </c>
      <c r="H41" s="45" t="n">
        <v>0</v>
      </c>
      <c r="I41" s="30" t="inlineStr">
        <is>
          <t>Aucune alerte</t>
        </is>
      </c>
      <c r="J41" s="30" t="inlineStr">
        <is>
          <t>Un lien ou une page de paiement est déjà utilisé pour encaisser à distance.</t>
        </is>
      </c>
      <c r="K41" s="30" t="str"/>
      <c r="L41" s="30" t="str"/>
      <c r="M41" s="30" t="inlineStr">
        <is>
          <t>Comment rapprochez-vous ces paiements des commandes correspondantes ?</t>
        </is>
      </c>
      <c r="N41" s="30" t="inlineStr">
        <is>
          <t>Confirmer la qualité du parcours à distance.</t>
        </is>
      </c>
    </row>
    <row r="42" ht="41.25" customHeight="1">
      <c r="A42" s="30" t="inlineStr">
        <is>
          <t>Q10B</t>
        </is>
      </c>
      <c r="B42" s="30" t="inlineStr">
        <is>
          <t>Dirigeant</t>
        </is>
      </c>
      <c r="C42" s="30" t="n">
        <v>10</v>
      </c>
      <c r="D42" s="30" t="inlineStr">
        <is>
          <t>Lorsqu’un client souhaite vous payer à distance, comment procédez-vous généralement ?</t>
        </is>
      </c>
      <c r="E42" s="30" t="inlineStr">
        <is>
          <t>Je lui communique un numéro après avoir échangé avec lui.</t>
        </is>
      </c>
      <c r="F42" s="30" t="inlineStr">
        <is>
          <t>Paiement à distance</t>
        </is>
      </c>
      <c r="G42" s="30" t="inlineStr">
        <is>
          <t>Difficulté</t>
        </is>
      </c>
      <c r="H42" s="45" t="n">
        <v>1</v>
      </c>
      <c r="I42" s="30" t="inlineStr">
        <is>
          <t>Légère</t>
        </is>
      </c>
      <c r="J42" s="30" t="inlineStr">
        <is>
          <t>Le paiement à distance nécessite de communiquer manuellement un numéro au client.</t>
        </is>
      </c>
      <c r="K42" s="30" t="inlineStr">
        <is>
          <t>Le parcours de paiement dépend d’un échange manuel.</t>
        </is>
      </c>
      <c r="L42" s="30" t="inlineStr">
        <is>
          <t>La vérification et le rapprochement peuvent être plus longs lorsque les demandes augmentent.</t>
        </is>
      </c>
      <c r="M42" s="30" t="inlineStr">
        <is>
          <t>Que se passe-t-il entre la demande du client et la confirmation définitive du paiement ?</t>
        </is>
      </c>
      <c r="N42" s="30" t="inlineStr">
        <is>
          <t>Cartographier le parcours manuel.</t>
        </is>
      </c>
    </row>
    <row r="43" ht="41.25" customHeight="1">
      <c r="A43" s="30" t="inlineStr">
        <is>
          <t>Q10C</t>
        </is>
      </c>
      <c r="B43" s="30" t="inlineStr">
        <is>
          <t>Dirigeant</t>
        </is>
      </c>
      <c r="C43" s="30" t="n">
        <v>10</v>
      </c>
      <c r="D43" s="30" t="inlineStr">
        <is>
          <t>Lorsqu’un client souhaite vous payer à distance, comment procédez-vous généralement ?</t>
        </is>
      </c>
      <c r="E43" s="30" t="inlineStr">
        <is>
          <t>Je privilégie encore le paiement à la livraison ou lors d’une rencontre.</t>
        </is>
      </c>
      <c r="F43" s="30" t="inlineStr">
        <is>
          <t>Paiement à distance</t>
        </is>
      </c>
      <c r="G43" s="30" t="inlineStr">
        <is>
          <t>Difficulté</t>
        </is>
      </c>
      <c r="H43" s="45" t="n">
        <v>2</v>
      </c>
      <c r="I43" s="30" t="inlineStr">
        <is>
          <t>Modérée</t>
        </is>
      </c>
      <c r="J43" s="30" t="inlineStr">
        <is>
          <t>Le paiement est encore privilégié à la livraison ou lors d’une rencontre.</t>
        </is>
      </c>
      <c r="K43" s="30" t="inlineStr">
        <is>
          <t>Les ventes à distance dépendent d’une présence physique ou de la livraison.</t>
        </is>
      </c>
      <c r="L43" s="30" t="inlineStr">
        <is>
          <t>Certains clients peuvent abandonner avant la finalisation de la vente.</t>
        </is>
      </c>
      <c r="M43" s="30" t="inlineStr">
        <is>
          <t>Combien de commandes n’aboutissent pas parce que le paiement doit attendre la livraison ou une rencontre ?</t>
        </is>
      </c>
      <c r="N43" s="30" t="inlineStr">
        <is>
          <t>Évaluer les pertes liées au paiement tardif.</t>
        </is>
      </c>
    </row>
    <row r="44" ht="41.25" customHeight="1">
      <c r="A44" s="30" t="inlineStr">
        <is>
          <t>Q10D</t>
        </is>
      </c>
      <c r="B44" s="30" t="inlineStr">
        <is>
          <t>Dirigeant</t>
        </is>
      </c>
      <c r="C44" s="30" t="n">
        <v>10</v>
      </c>
      <c r="D44" s="30" t="inlineStr">
        <is>
          <t>Lorsqu’un client souhaite vous payer à distance, comment procédez-vous généralement ?</t>
        </is>
      </c>
      <c r="E44" s="30" t="inlineStr">
        <is>
          <t>Je ne propose pas encore de moyen de paiement à distance.</t>
        </is>
      </c>
      <c r="F44" s="30" t="inlineStr">
        <is>
          <t>Paiement à distance</t>
        </is>
      </c>
      <c r="G44" s="30" t="inlineStr">
        <is>
          <t>Difficulté</t>
        </is>
      </c>
      <c r="H44" s="45" t="n">
        <v>3</v>
      </c>
      <c r="I44" s="30" t="inlineStr">
        <is>
          <t>Élevée</t>
        </is>
      </c>
      <c r="J44" s="30" t="inlineStr">
        <is>
          <t>Aucun moyen de paiement à distance n’est proposé.</t>
        </is>
      </c>
      <c r="K44" s="30" t="inlineStr">
        <is>
          <t>L’entreprise ne peut pas encaisser un client à distance de manière organisée.</t>
        </is>
      </c>
      <c r="L44" s="30" t="inlineStr">
        <is>
          <t>La zone de vente et les possibilités de finalisation immédiate sont limitées.</t>
        </is>
      </c>
      <c r="M44" s="30" t="inlineStr">
        <is>
          <t>Que faites-vous lorsqu’un client éloigné veut acheter immédiatement ?</t>
        </is>
      </c>
      <c r="N44" s="30" t="inlineStr">
        <is>
          <t>Mesurer l’impact commercial de l’absence de paiement à distance.</t>
        </is>
      </c>
    </row>
    <row r="45" ht="41.25" customHeight="1">
      <c r="A45" s="30" t="inlineStr">
        <is>
          <t>Q11A</t>
        </is>
      </c>
      <c r="B45" s="30" t="inlineStr">
        <is>
          <t>Dirigeant</t>
        </is>
      </c>
      <c r="C45" s="30" t="n">
        <v>11</v>
      </c>
      <c r="D45" s="30" t="inlineStr">
        <is>
          <t>Quelle place le digital occupe-t-il actuellement dans vos ventes ?</t>
        </is>
      </c>
      <c r="E45" s="30" t="inlineStr">
        <is>
          <t>Mon site permet aux clients de commander et de payer directement.</t>
        </is>
      </c>
      <c r="F45" s="30" t="inlineStr">
        <is>
          <t>Parcours de vente digital</t>
        </is>
      </c>
      <c r="G45" s="30" t="inlineStr">
        <is>
          <t>Force</t>
        </is>
      </c>
      <c r="H45" s="45" t="n">
        <v>0</v>
      </c>
      <c r="I45" s="30" t="inlineStr">
        <is>
          <t>Aucune alerte</t>
        </is>
      </c>
      <c r="J45" s="30" t="inlineStr">
        <is>
          <t>Le site permet déjà de commander et de payer directement.</t>
        </is>
      </c>
      <c r="K45" s="30" t="str"/>
      <c r="L45" s="30" t="str"/>
      <c r="M45" s="30" t="inlineStr">
        <is>
          <t>À quel endroit du parcours observez-vous le plus d’abandons ?</t>
        </is>
      </c>
      <c r="N45" s="30" t="inlineStr">
        <is>
          <t>Comprendre la performance du parcours existant.</t>
        </is>
      </c>
    </row>
    <row r="46" ht="41.25" customHeight="1">
      <c r="A46" s="30" t="inlineStr">
        <is>
          <t>Q11B</t>
        </is>
      </c>
      <c r="B46" s="30" t="inlineStr">
        <is>
          <t>Dirigeant</t>
        </is>
      </c>
      <c r="C46" s="30" t="n">
        <v>11</v>
      </c>
      <c r="D46" s="30" t="inlineStr">
        <is>
          <t>Quelle place le digital occupe-t-il actuellement dans vos ventes ?</t>
        </is>
      </c>
      <c r="E46" s="30" t="inlineStr">
        <is>
          <t>Mon site présente mes offres, mais les commandes se finalisent ailleurs.</t>
        </is>
      </c>
      <c r="F46" s="30" t="inlineStr">
        <is>
          <t>Parcours de vente digital</t>
        </is>
      </c>
      <c r="G46" s="30" t="inlineStr">
        <is>
          <t>Difficulté</t>
        </is>
      </c>
      <c r="H46" s="45" t="n">
        <v>1</v>
      </c>
      <c r="I46" s="30" t="inlineStr">
        <is>
          <t>Légère</t>
        </is>
      </c>
      <c r="J46" s="30" t="inlineStr">
        <is>
          <t>Le site présente les offres, mais la commande se termine ailleurs.</t>
        </is>
      </c>
      <c r="K46" s="30" t="inlineStr">
        <is>
          <t>Le parcours entre consultation, commande et paiement est fragmenté.</t>
        </is>
      </c>
      <c r="L46" s="30" t="inlineStr">
        <is>
          <t>Le passage vers un autre canal peut créer des abandons ou compliquer le suivi des ventes.</t>
        </is>
      </c>
      <c r="M46" s="30" t="inlineStr">
        <is>
          <t>Que doit faire exactement un visiteur après avoir choisi une offre sur le site ?</t>
        </is>
      </c>
      <c r="N46" s="30" t="inlineStr">
        <is>
          <t>Cartographier la rupture du parcours.</t>
        </is>
      </c>
    </row>
    <row r="47" ht="41.25" customHeight="1">
      <c r="A47" s="30" t="inlineStr">
        <is>
          <t>Q11C</t>
        </is>
      </c>
      <c r="B47" s="30" t="inlineStr">
        <is>
          <t>Dirigeant</t>
        </is>
      </c>
      <c r="C47" s="30" t="n">
        <v>11</v>
      </c>
      <c r="D47" s="30" t="inlineStr">
        <is>
          <t>Quelle place le digital occupe-t-il actuellement dans vos ventes ?</t>
        </is>
      </c>
      <c r="E47" s="30" t="inlineStr">
        <is>
          <t>Je vends principalement à travers les réseaux sociaux et les messageries.</t>
        </is>
      </c>
      <c r="F47" s="30" t="inlineStr">
        <is>
          <t>Parcours de vente digital</t>
        </is>
      </c>
      <c r="G47" s="30" t="inlineStr">
        <is>
          <t>Point de vigilance</t>
        </is>
      </c>
      <c r="H47" s="45" t="n">
        <v>1</v>
      </c>
      <c r="I47" s="30" t="inlineStr">
        <is>
          <t>Légère</t>
        </is>
      </c>
      <c r="J47" s="30" t="inlineStr">
        <is>
          <t>Les ventes passent principalement par les réseaux sociaux et les messageries.</t>
        </is>
      </c>
      <c r="K47" s="30" t="inlineStr">
        <is>
          <t>Le parcours de vente dépend fortement des échanges conversationnels.</t>
        </is>
      </c>
      <c r="L47" s="30" t="inlineStr">
        <is>
          <t>Les demandes, commandes et paiements peuvent être difficiles à suivre dans un même parcours.</t>
        </is>
      </c>
      <c r="M47" s="30" t="inlineStr">
        <is>
          <t>Comment suivez-vous une demande reçue sur les réseaux sociaux jusqu’au paiement ?</t>
        </is>
      </c>
      <c r="N47" s="30" t="inlineStr">
        <is>
          <t>Explorer la continuité du parcours de vente.</t>
        </is>
      </c>
    </row>
    <row r="48" ht="41.25" customHeight="1">
      <c r="A48" s="30" t="inlineStr">
        <is>
          <t>Q11D</t>
        </is>
      </c>
      <c r="B48" s="30" t="inlineStr">
        <is>
          <t>Dirigeant</t>
        </is>
      </c>
      <c r="C48" s="30" t="n">
        <v>11</v>
      </c>
      <c r="D48" s="30" t="inlineStr">
        <is>
          <t>Quelle place le digital occupe-t-il actuellement dans vos ventes ?</t>
        </is>
      </c>
      <c r="E48" s="30" t="inlineStr">
        <is>
          <t>Mes ventes se font encore essentiellement en présentiel.</t>
        </is>
      </c>
      <c r="F48" s="30" t="inlineStr">
        <is>
          <t>Parcours de vente digital</t>
        </is>
      </c>
      <c r="G48" s="30" t="inlineStr">
        <is>
          <t>Contexte</t>
        </is>
      </c>
      <c r="H48" s="45" t="n">
        <v>0</v>
      </c>
      <c r="I48" s="30" t="inlineStr">
        <is>
          <t>Aucune alerte</t>
        </is>
      </c>
      <c r="J48" s="30" t="inlineStr">
        <is>
          <t>Les ventes sont encore principalement réalisées en présentiel.</t>
        </is>
      </c>
      <c r="K48" s="30" t="str"/>
      <c r="L48" s="30" t="inlineStr">
        <is>
          <t>Le besoin digital dépendra du projet de développement de l’entreprise.</t>
        </is>
      </c>
      <c r="M48" s="30" t="inlineStr">
        <is>
          <t>Souhaitez-vous développer la vente à distance ou rester principalement en présentiel ?</t>
        </is>
      </c>
      <c r="N48" s="30" t="inlineStr">
        <is>
          <t>Comprendre l’ambition digitale.</t>
        </is>
      </c>
    </row>
    <row r="49" ht="41.25" customHeight="1">
      <c r="A49" s="30" t="inlineStr">
        <is>
          <t>Q12A</t>
        </is>
      </c>
      <c r="B49" s="30" t="inlineStr">
        <is>
          <t>Dirigeant</t>
        </is>
      </c>
      <c r="C49" s="30" t="n">
        <v>12</v>
      </c>
      <c r="D49" s="30" t="inlineStr">
        <is>
          <t>Un client affirme avoir payé, mais vous ne retrouvez pas immédiatement son paiement. Que faites-vous ?</t>
        </is>
      </c>
      <c r="E49" s="30" t="inlineStr">
        <is>
          <t>Je recherche la transaction à partir de sa référence.</t>
        </is>
      </c>
      <c r="F49" s="30" t="inlineStr">
        <is>
          <t>Traçabilité d’un paiement</t>
        </is>
      </c>
      <c r="G49" s="30" t="inlineStr">
        <is>
          <t>Force</t>
        </is>
      </c>
      <c r="H49" s="45" t="n">
        <v>0</v>
      </c>
      <c r="I49" s="30" t="inlineStr">
        <is>
          <t>Aucune alerte</t>
        </is>
      </c>
      <c r="J49" s="30" t="inlineStr">
        <is>
          <t>Un paiement peut être recherché à partir de sa référence.</t>
        </is>
      </c>
      <c r="K49" s="30" t="str"/>
      <c r="L49" s="30" t="str"/>
      <c r="M49" s="30" t="inlineStr">
        <is>
          <t>La référence permet-elle aussi de retrouver la commande et le client concernés ?</t>
        </is>
      </c>
      <c r="N49" s="30" t="inlineStr">
        <is>
          <t>Confirmer la profondeur du rapprochement.</t>
        </is>
      </c>
    </row>
    <row r="50" ht="41.25" customHeight="1">
      <c r="A50" s="30" t="inlineStr">
        <is>
          <t>Q12B</t>
        </is>
      </c>
      <c r="B50" s="30" t="inlineStr">
        <is>
          <t>Dirigeant</t>
        </is>
      </c>
      <c r="C50" s="30" t="n">
        <v>12</v>
      </c>
      <c r="D50" s="30" t="inlineStr">
        <is>
          <t>Un client affirme avoir payé, mais vous ne retrouvez pas immédiatement son paiement. Que faites-vous ?</t>
        </is>
      </c>
      <c r="E50" s="30" t="inlineStr">
        <is>
          <t>Je lui demande une preuve de paiement pour poursuivre la vérification.</t>
        </is>
      </c>
      <c r="F50" s="30" t="inlineStr">
        <is>
          <t>Traçabilité d’un paiement</t>
        </is>
      </c>
      <c r="G50" s="30" t="inlineStr">
        <is>
          <t>Difficulté</t>
        </is>
      </c>
      <c r="H50" s="45" t="n">
        <v>1</v>
      </c>
      <c r="I50" s="30" t="inlineStr">
        <is>
          <t>Légère</t>
        </is>
      </c>
      <c r="J50" s="30" t="inlineStr">
        <is>
          <t>La vérification dépend d’une preuve envoyée par le client.</t>
        </is>
      </c>
      <c r="K50" s="30" t="inlineStr">
        <is>
          <t>L’entreprise ne retrouve pas toujours un paiement depuis ses propres données.</t>
        </is>
      </c>
      <c r="L50" s="30" t="inlineStr">
        <is>
          <t>La résolution dépend de la disponibilité et de la qualité de la preuve du client.</t>
        </is>
      </c>
      <c r="M50" s="30" t="inlineStr">
        <is>
          <t>Que pouvez-vous vérifier lorsque le client ne retrouve plus sa preuve ?</t>
        </is>
      </c>
      <c r="N50" s="30" t="inlineStr">
        <is>
          <t>Tester l’autonomie de vérification.</t>
        </is>
      </c>
    </row>
    <row r="51" ht="41.25" customHeight="1">
      <c r="A51" s="30" t="inlineStr">
        <is>
          <t>Q12C</t>
        </is>
      </c>
      <c r="B51" s="30" t="inlineStr">
        <is>
          <t>Dirigeant</t>
        </is>
      </c>
      <c r="C51" s="30" t="n">
        <v>12</v>
      </c>
      <c r="D51" s="30" t="inlineStr">
        <is>
          <t>Un client affirme avoir payé, mais vous ne retrouvez pas immédiatement son paiement. Que faites-vous ?</t>
        </is>
      </c>
      <c r="E51" s="30" t="inlineStr">
        <is>
          <t>Je consulte mes différents soldes pour voir si le montant apparaît.</t>
        </is>
      </c>
      <c r="F51" s="30" t="inlineStr">
        <is>
          <t>Traçabilité d’un paiement</t>
        </is>
      </c>
      <c r="G51" s="30" t="inlineStr">
        <is>
          <t>Difficulté</t>
        </is>
      </c>
      <c r="H51" s="45" t="n">
        <v>2</v>
      </c>
      <c r="I51" s="30" t="inlineStr">
        <is>
          <t>Modérée</t>
        </is>
      </c>
      <c r="J51" s="30" t="inlineStr">
        <is>
          <t>La recherche oblige à consulter plusieurs soldes.</t>
        </is>
      </c>
      <c r="K51" s="30" t="inlineStr">
        <is>
          <t>Un paiement ne peut pas être retrouvé rapidement dans une vue unique.</t>
        </is>
      </c>
      <c r="L51" s="30" t="inlineStr">
        <is>
          <t>Le délai de confirmation peut dégrader l’expérience client et mobiliser plusieurs vérifications.</t>
        </is>
      </c>
      <c r="M51" s="30" t="inlineStr">
        <is>
          <t>Combien de comptes devez-vous vérifier avant de confirmer un paiement ?</t>
        </is>
      </c>
      <c r="N51" s="30" t="inlineStr">
        <is>
          <t>Mesurer la complexité de recherche.</t>
        </is>
      </c>
    </row>
    <row r="52" ht="41.25" customHeight="1">
      <c r="A52" s="30" t="inlineStr">
        <is>
          <t>Q12D</t>
        </is>
      </c>
      <c r="B52" s="30" t="inlineStr">
        <is>
          <t>Dirigeant</t>
        </is>
      </c>
      <c r="C52" s="30" t="n">
        <v>12</v>
      </c>
      <c r="D52" s="30" t="inlineStr">
        <is>
          <t>Un client affirme avoir payé, mais vous ne retrouvez pas immédiatement son paiement. Que faites-vous ?</t>
        </is>
      </c>
      <c r="E52" s="30" t="inlineStr">
        <is>
          <t>J’attends la notification ou la confirmation de mon opérateur de paiement.</t>
        </is>
      </c>
      <c r="F52" s="30" t="inlineStr">
        <is>
          <t>Traçabilité d’un paiement</t>
        </is>
      </c>
      <c r="G52" s="30" t="inlineStr">
        <is>
          <t>Difficulté</t>
        </is>
      </c>
      <c r="H52" s="45" t="n">
        <v>3</v>
      </c>
      <c r="I52" s="30" t="inlineStr">
        <is>
          <t>Élevée</t>
        </is>
      </c>
      <c r="J52" s="30" t="inlineStr">
        <is>
          <t>La confirmation dépend de l’arrivée d’une notification ou de l’opérateur.</t>
        </is>
      </c>
      <c r="K52" s="30" t="inlineStr">
        <is>
          <t>L’entreprise ne maîtrise pas le délai de vérification d’un paiement.</t>
        </is>
      </c>
      <c r="L52" s="30" t="inlineStr">
        <is>
          <t>Une commande peut rester bloquée malgré la déclaration du client.</t>
        </is>
      </c>
      <c r="M52" s="30" t="inlineStr">
        <is>
          <t>Combien de temps une commande peut-elle rester en attente dans cette situation ?</t>
        </is>
      </c>
      <c r="N52" s="30" t="inlineStr">
        <is>
          <t>Évaluer l’impact opérationnel du délai.</t>
        </is>
      </c>
    </row>
    <row r="53" ht="41.25" customHeight="1">
      <c r="A53" s="30" t="inlineStr">
        <is>
          <t>Q13A</t>
        </is>
      </c>
      <c r="B53" s="30" t="inlineStr">
        <is>
          <t>Dirigeant</t>
        </is>
      </c>
      <c r="C53" s="30" t="n">
        <v>13</v>
      </c>
      <c r="D53" s="30" t="inlineStr">
        <is>
          <t>Avant d’adopter un nouvel outil pour votre entreprise, qu’est-ce qui compte le plus pour vous ?</t>
        </is>
      </c>
      <c r="E53" s="30" t="inlineStr">
        <is>
          <t>Je veux savoir s’il peut s’intégrer facilement à mon fonctionnement actuel.</t>
        </is>
      </c>
      <c r="F53" s="30" t="inlineStr">
        <is>
          <t>Adoption</t>
        </is>
      </c>
      <c r="G53" s="30" t="inlineStr">
        <is>
          <t>Condition déclarée</t>
        </is>
      </c>
      <c r="H53" s="45" t="n">
        <v>0</v>
      </c>
      <c r="I53" s="30" t="inlineStr">
        <is>
          <t>Aucune alerte</t>
        </is>
      </c>
      <c r="J53" s="30" t="inlineStr">
        <is>
          <t>L’intégration au fonctionnement actuel est la première condition d’adoption.</t>
        </is>
      </c>
      <c r="K53" s="30" t="str"/>
      <c r="L53" s="30" t="inlineStr">
        <is>
          <t>Une solution trop éloignée des habitudes existantes peut être rejetée.</t>
        </is>
      </c>
      <c r="M53" s="30" t="inlineStr">
        <is>
          <t>Quelles habitudes ou outils doivent absolument être préservés ?</t>
        </is>
      </c>
      <c r="N53" s="30" t="inlineStr">
        <is>
          <t>Comprendre les conditions d’adoption.</t>
        </is>
      </c>
    </row>
    <row r="54" ht="41.25" customHeight="1">
      <c r="A54" s="30" t="inlineStr">
        <is>
          <t>Q13B</t>
        </is>
      </c>
      <c r="B54" s="30" t="inlineStr">
        <is>
          <t>Dirigeant</t>
        </is>
      </c>
      <c r="C54" s="30" t="n">
        <v>13</v>
      </c>
      <c r="D54" s="30" t="inlineStr">
        <is>
          <t>Avant d’adopter un nouvel outil pour votre entreprise, qu’est-ce qui compte le plus pour vous ?</t>
        </is>
      </c>
      <c r="E54" s="30" t="inlineStr">
        <is>
          <t>Je veux vérifier s’il me permettra de gagner du temps dans le suivi.</t>
        </is>
      </c>
      <c r="F54" s="30" t="inlineStr">
        <is>
          <t>Adoption</t>
        </is>
      </c>
      <c r="G54" s="30" t="inlineStr">
        <is>
          <t>Condition déclarée</t>
        </is>
      </c>
      <c r="H54" s="45" t="n">
        <v>0</v>
      </c>
      <c r="I54" s="30" t="inlineStr">
        <is>
          <t>Aucune alerte</t>
        </is>
      </c>
      <c r="J54" s="30" t="inlineStr">
        <is>
          <t>Le gain de temps est la première condition d’adoption.</t>
        </is>
      </c>
      <c r="K54" s="30" t="str"/>
      <c r="L54" s="30" t="inlineStr">
        <is>
          <t>La valeur attendue devra être observable dans les tâches quotidiennes.</t>
        </is>
      </c>
      <c r="M54" s="30" t="inlineStr">
        <is>
          <t>Quelles tâches de suivi vous prennent aujourd’hui le plus de temps ?</t>
        </is>
      </c>
      <c r="N54" s="30" t="inlineStr">
        <is>
          <t>Identifier les gains attendus.</t>
        </is>
      </c>
    </row>
    <row r="55" ht="41.25" customHeight="1">
      <c r="A55" s="30" t="inlineStr">
        <is>
          <t>Q13C</t>
        </is>
      </c>
      <c r="B55" s="30" t="inlineStr">
        <is>
          <t>Dirigeant</t>
        </is>
      </c>
      <c r="C55" s="30" t="n">
        <v>13</v>
      </c>
      <c r="D55" s="30" t="inlineStr">
        <is>
          <t>Avant d’adopter un nouvel outil pour votre entreprise, qu’est-ce qui compte le plus pour vous ?</t>
        </is>
      </c>
      <c r="E55" s="30" t="inlineStr">
        <is>
          <t>Je veux m’assurer que mon équipe pourra l’utiliser sans difficulté.</t>
        </is>
      </c>
      <c r="F55" s="30" t="inlineStr">
        <is>
          <t>Adoption</t>
        </is>
      </c>
      <c r="G55" s="30" t="inlineStr">
        <is>
          <t>Condition déclarée</t>
        </is>
      </c>
      <c r="H55" s="45" t="n">
        <v>0</v>
      </c>
      <c r="I55" s="30" t="inlineStr">
        <is>
          <t>Aucune alerte</t>
        </is>
      </c>
      <c r="J55" s="30" t="inlineStr">
        <is>
          <t>La facilité d’utilisation par l’équipe est la première condition d’adoption.</t>
        </is>
      </c>
      <c r="K55" s="30" t="str"/>
      <c r="L55" s="30" t="inlineStr">
        <is>
          <t>La capacité de l’équipe à adopter un nouvel outil sera déterminante.</t>
        </is>
      </c>
      <c r="M55" s="30" t="inlineStr">
        <is>
          <t>Quelles difficultés votre équipe rencontre-t-elle habituellement avec de nouveaux outils ?</t>
        </is>
      </c>
      <c r="N55" s="30" t="inlineStr">
        <is>
          <t>Comprendre le risque d’adoption.</t>
        </is>
      </c>
    </row>
    <row r="56" ht="41.25" customHeight="1">
      <c r="A56" s="30" t="inlineStr">
        <is>
          <t>Q13D</t>
        </is>
      </c>
      <c r="B56" s="30" t="inlineStr">
        <is>
          <t>Dirigeant</t>
        </is>
      </c>
      <c r="C56" s="30" t="n">
        <v>13</v>
      </c>
      <c r="D56" s="30" t="inlineStr">
        <is>
          <t>Avant d’adopter un nouvel outil pour votre entreprise, qu’est-ce qui compte le plus pour vous ?</t>
        </is>
      </c>
      <c r="E56" s="30" t="inlineStr">
        <is>
          <t>Je préfère attendre que le besoin devienne vraiment urgent avant de changer.</t>
        </is>
      </c>
      <c r="F56" s="30" t="inlineStr">
        <is>
          <t>Adoption</t>
        </is>
      </c>
      <c r="G56" s="30" t="inlineStr">
        <is>
          <t>Point de vigilance</t>
        </is>
      </c>
      <c r="H56" s="45" t="n">
        <v>2</v>
      </c>
      <c r="I56" s="30" t="inlineStr">
        <is>
          <t>Modérée</t>
        </is>
      </c>
      <c r="J56" s="30" t="inlineStr">
        <is>
          <t>Le changement est envisagé seulement lorsque le besoin devient urgent.</t>
        </is>
      </c>
      <c r="K56" s="30" t="inlineStr">
        <is>
          <t>Les améliorations peuvent être reportées jusqu’à l’apparition d’un problème critique.</t>
        </is>
      </c>
      <c r="L56" s="30" t="inlineStr">
        <is>
          <t>Le prospect peut reconnaître la difficulté sans être encore prêt à agir.</t>
        </is>
      </c>
      <c r="M56" s="30" t="inlineStr">
        <is>
          <t>Quel événement rendrait ce sujet suffisamment urgent pour agir maintenant ?</t>
        </is>
      </c>
      <c r="N56" s="30" t="inlineStr">
        <is>
          <t>Évaluer la maturité du besoin.</t>
        </is>
      </c>
    </row>
    <row r="57" ht="41.25" customHeight="1">
      <c r="A57" s="30" t="inlineStr">
        <is>
          <t>Q14A</t>
        </is>
      </c>
      <c r="B57" s="30" t="inlineStr">
        <is>
          <t>Dirigeant</t>
        </is>
      </c>
      <c r="C57" s="30" t="n">
        <v>14</v>
      </c>
      <c r="D57" s="30" t="inlineStr">
        <is>
          <t>Dans un an, quel progrès vous donnerait le plus le sentiment de mieux piloter votre entreprise ?</t>
        </is>
      </c>
      <c r="E57" s="30" t="inlineStr">
        <is>
          <t>Je pourrais connaître l’état de ma trésorerie sans attendre la fin du mois.</t>
        </is>
      </c>
      <c r="F57" s="30" t="inlineStr">
        <is>
          <t>Besoin déclaré</t>
        </is>
      </c>
      <c r="G57" s="30" t="inlineStr">
        <is>
          <t>Besoin déclaré</t>
        </is>
      </c>
      <c r="H57" s="45" t="n">
        <v>0</v>
      </c>
      <c r="I57" s="30" t="inlineStr">
        <is>
          <t>Aucune alerte</t>
        </is>
      </c>
      <c r="J57" s="30" t="inlineStr">
        <is>
          <t>Le progrès prioritaire déclaré est de connaître la trésorerie sans attendre la fin du mois.</t>
        </is>
      </c>
      <c r="K57" s="30" t="str"/>
      <c r="L57" s="30" t="inlineStr">
        <is>
          <t>Le besoin de visibilité financière est explicitement reconnu.</t>
        </is>
      </c>
      <c r="M57" s="30" t="inlineStr">
        <is>
          <t>Qu’est-ce que cette visibilité vous permettrait de décider plus rapidement ?</t>
        </is>
      </c>
      <c r="N57" s="30" t="inlineStr">
        <is>
          <t>Approfondir le besoin déclaré.</t>
        </is>
      </c>
    </row>
    <row r="58" ht="41.25" customHeight="1">
      <c r="A58" s="30" t="inlineStr">
        <is>
          <t>Q14B</t>
        </is>
      </c>
      <c r="B58" s="30" t="inlineStr">
        <is>
          <t>Dirigeant</t>
        </is>
      </c>
      <c r="C58" s="30" t="n">
        <v>14</v>
      </c>
      <c r="D58" s="30" t="inlineStr">
        <is>
          <t>Dans un an, quel progrès vous donnerait le plus le sentiment de mieux piloter votre entreprise ?</t>
        </is>
      </c>
      <c r="E58" s="30" t="inlineStr">
        <is>
          <t>Je pourrais retrouver facilement l’origine de chaque mouvement de fonds.</t>
        </is>
      </c>
      <c r="F58" s="30" t="inlineStr">
        <is>
          <t>Besoin déclaré</t>
        </is>
      </c>
      <c r="G58" s="30" t="inlineStr">
        <is>
          <t>Besoin déclaré</t>
        </is>
      </c>
      <c r="H58" s="45" t="n">
        <v>0</v>
      </c>
      <c r="I58" s="30" t="inlineStr">
        <is>
          <t>Aucune alerte</t>
        </is>
      </c>
      <c r="J58" s="30" t="inlineStr">
        <is>
          <t>Le progrès prioritaire déclaré est de retrouver l’origine de chaque mouvement de fonds.</t>
        </is>
      </c>
      <c r="K58" s="30" t="str"/>
      <c r="L58" s="30" t="inlineStr">
        <is>
          <t>Le besoin de traçabilité est explicitement reconnu.</t>
        </is>
      </c>
      <c r="M58" s="30" t="inlineStr">
        <is>
          <t>Quels mouvements sont aujourd’hui les plus difficiles à expliquer ?</t>
        </is>
      </c>
      <c r="N58" s="30" t="inlineStr">
        <is>
          <t>Approfondir le besoin déclaré.</t>
        </is>
      </c>
    </row>
    <row r="59" ht="41.25" customHeight="1">
      <c r="A59" s="30" t="inlineStr">
        <is>
          <t>Q14C</t>
        </is>
      </c>
      <c r="B59" s="30" t="inlineStr">
        <is>
          <t>Dirigeant</t>
        </is>
      </c>
      <c r="C59" s="30" t="n">
        <v>14</v>
      </c>
      <c r="D59" s="30" t="inlineStr">
        <is>
          <t>Dans un an, quel progrès vous donnerait le plus le sentiment de mieux piloter votre entreprise ?</t>
        </is>
      </c>
      <c r="E59" s="30" t="inlineStr">
        <is>
          <t>Je pourrais encaisser mes clients sur tous mes canaux de vente.</t>
        </is>
      </c>
      <c r="F59" s="30" t="inlineStr">
        <is>
          <t>Besoin déclaré</t>
        </is>
      </c>
      <c r="G59" s="30" t="inlineStr">
        <is>
          <t>Besoin déclaré</t>
        </is>
      </c>
      <c r="H59" s="45" t="n">
        <v>0</v>
      </c>
      <c r="I59" s="30" t="inlineStr">
        <is>
          <t>Aucune alerte</t>
        </is>
      </c>
      <c r="J59" s="30" t="inlineStr">
        <is>
          <t>Le progrès prioritaire déclaré est d’encaisser sur tous les canaux de vente.</t>
        </is>
      </c>
      <c r="K59" s="30" t="str"/>
      <c r="L59" s="30" t="inlineStr">
        <is>
          <t>Le besoin d’un parcours d’encaissement plus large est explicitement reconnu.</t>
        </is>
      </c>
      <c r="M59" s="30" t="inlineStr">
        <is>
          <t>Quel canal vous empêche aujourd’hui de finaliser certaines ventes ?</t>
        </is>
      </c>
      <c r="N59" s="30" t="inlineStr">
        <is>
          <t>Approfondir le besoin déclaré.</t>
        </is>
      </c>
    </row>
    <row r="60" ht="41.25" customHeight="1">
      <c r="A60" s="30" t="inlineStr">
        <is>
          <t>Q14D</t>
        </is>
      </c>
      <c r="B60" s="30" t="inlineStr">
        <is>
          <t>Dirigeant</t>
        </is>
      </c>
      <c r="C60" s="30" t="n">
        <v>14</v>
      </c>
      <c r="D60" s="30" t="inlineStr">
        <is>
          <t>Dans un an, quel progrès vous donnerait le plus le sentiment de mieux piloter votre entreprise ?</t>
        </is>
      </c>
      <c r="E60" s="30" t="inlineStr">
        <is>
          <t>Je pourrais déléguer davantage sans perdre le contrôle de mon activité.</t>
        </is>
      </c>
      <c r="F60" s="30" t="inlineStr">
        <is>
          <t>Besoin déclaré</t>
        </is>
      </c>
      <c r="G60" s="30" t="inlineStr">
        <is>
          <t>Besoin déclaré</t>
        </is>
      </c>
      <c r="H60" s="45" t="n">
        <v>0</v>
      </c>
      <c r="I60" s="30" t="inlineStr">
        <is>
          <t>Aucune alerte</t>
        </is>
      </c>
      <c r="J60" s="30" t="inlineStr">
        <is>
          <t>Le progrès prioritaire déclaré est de déléguer sans perdre le contrôle.</t>
        </is>
      </c>
      <c r="K60" s="30" t="str"/>
      <c r="L60" s="30" t="inlineStr">
        <is>
          <t>Le besoin de contrôle dans la délégation est explicitement reconnu.</t>
        </is>
      </c>
      <c r="M60" s="30" t="inlineStr">
        <is>
          <t>Qu’aimeriez-vous pouvoir déléguer tout en continuant à vérifier ?</t>
        </is>
      </c>
      <c r="N60" s="30" t="inlineStr">
        <is>
          <t>Approfondir le besoin déclaré.</t>
        </is>
      </c>
    </row>
    <row r="61" ht="41.25" customHeight="1">
      <c r="A61" s="30" t="inlineStr">
        <is>
          <t>R1A</t>
        </is>
      </c>
      <c r="B61" s="30" t="inlineStr">
        <is>
          <t>Rayonnement</t>
        </is>
      </c>
      <c r="C61" s="30" t="n">
        <v>1</v>
      </c>
      <c r="D61" s="30" t="inlineStr">
        <is>
          <t>En dehors de vos clients actuels, jusqu’où votre entreprise est-elle connue ?</t>
        </is>
      </c>
      <c r="E61" s="30" t="inlineStr">
        <is>
          <t>Elle est principalement connue par mon entourage et mes contacts directs.</t>
        </is>
      </c>
      <c r="F61" s="30" t="inlineStr">
        <is>
          <t>Notoriété</t>
        </is>
      </c>
      <c r="G61" s="30" t="inlineStr">
        <is>
          <t>Difficulté</t>
        </is>
      </c>
      <c r="H61" s="45" t="n">
        <v>3</v>
      </c>
      <c r="I61" s="30" t="inlineStr">
        <is>
          <t>Élevée</t>
        </is>
      </c>
      <c r="J61" s="30" t="inlineStr">
        <is>
          <t>L’entreprise est principalement connue de l’entourage et des contacts directs.</t>
        </is>
      </c>
      <c r="K61" s="30" t="inlineStr">
        <is>
          <t>La notoriété dépasse peu le réseau immédiat.</t>
        </is>
      </c>
      <c r="L61" s="30" t="inlineStr">
        <is>
          <t>L’acquisition peut dépendre fortement des relations personnelles.</t>
        </is>
      </c>
      <c r="M61" s="30" t="inlineStr">
        <is>
          <t>Quelle part de vos nouveaux clients vient de personnes qui ne vous connaissaient pas auparavant ?</t>
        </is>
      </c>
      <c r="N61" s="30" t="inlineStr">
        <is>
          <t>Mesurer l’ouverture au marché.</t>
        </is>
      </c>
    </row>
    <row r="62" ht="41.25" customHeight="1">
      <c r="A62" s="30" t="inlineStr">
        <is>
          <t>R1B</t>
        </is>
      </c>
      <c r="B62" s="30" t="inlineStr">
        <is>
          <t>Rayonnement</t>
        </is>
      </c>
      <c r="C62" s="30" t="n">
        <v>1</v>
      </c>
      <c r="D62" s="30" t="inlineStr">
        <is>
          <t>En dehors de vos clients actuels, jusqu’où votre entreprise est-elle connue ?</t>
        </is>
      </c>
      <c r="E62" s="30" t="inlineStr">
        <is>
          <t>Elle commence à être connue par des personnes situées dans ma zone.</t>
        </is>
      </c>
      <c r="F62" s="30" t="inlineStr">
        <is>
          <t>Notoriété</t>
        </is>
      </c>
      <c r="G62" s="30" t="inlineStr">
        <is>
          <t>Difficulté</t>
        </is>
      </c>
      <c r="H62" s="45" t="n">
        <v>2</v>
      </c>
      <c r="I62" s="30" t="inlineStr">
        <is>
          <t>Modérée</t>
        </is>
      </c>
      <c r="J62" s="30" t="inlineStr">
        <is>
          <t>L’entreprise commence à être connue dans sa zone.</t>
        </is>
      </c>
      <c r="K62" s="30" t="inlineStr">
        <is>
          <t>La reconnaissance reste principalement locale.</t>
        </is>
      </c>
      <c r="L62" s="30" t="inlineStr">
        <is>
          <t>Le développement hors de la zone actuelle peut être limité.</t>
        </is>
      </c>
      <c r="M62" s="30" t="inlineStr">
        <is>
          <t>Qu’est-ce qui vous empêche aujourd’hui d’être connu au-delà de votre zone ?</t>
        </is>
      </c>
      <c r="N62" s="30" t="inlineStr">
        <is>
          <t>Comprendre la limite de portée.</t>
        </is>
      </c>
    </row>
    <row r="63" ht="41.25" customHeight="1">
      <c r="A63" s="30" t="inlineStr">
        <is>
          <t>R1C</t>
        </is>
      </c>
      <c r="B63" s="30" t="inlineStr">
        <is>
          <t>Rayonnement</t>
        </is>
      </c>
      <c r="C63" s="30" t="n">
        <v>1</v>
      </c>
      <c r="D63" s="30" t="inlineStr">
        <is>
          <t>En dehors de vos clients actuels, jusqu’où votre entreprise est-elle connue ?</t>
        </is>
      </c>
      <c r="E63" s="30" t="inlineStr">
        <is>
          <t>Elle est régulièrement identifiée par des prospects de mon secteur.</t>
        </is>
      </c>
      <c r="F63" s="30" t="inlineStr">
        <is>
          <t>Notoriété</t>
        </is>
      </c>
      <c r="G63" s="30" t="inlineStr">
        <is>
          <t>Point de vigilance</t>
        </is>
      </c>
      <c r="H63" s="45" t="n">
        <v>1</v>
      </c>
      <c r="I63" s="30" t="inlineStr">
        <is>
          <t>Légère</t>
        </is>
      </c>
      <c r="J63" s="30" t="inlineStr">
        <is>
          <t>L’entreprise est identifiée par des prospects de son secteur.</t>
        </is>
      </c>
      <c r="K63" s="30" t="inlineStr">
        <is>
          <t>La reconnaissance existe, mais n’est pas encore large sur le marché visé.</t>
        </is>
      </c>
      <c r="L63" s="30" t="inlineStr">
        <is>
          <t>La marque peut devoir convertir cette reconnaissance en préférence.</t>
        </is>
      </c>
      <c r="M63" s="30" t="inlineStr">
        <is>
          <t>Les prospects qui vous connaissent comprennent-ils clairement pourquoi vous choisir ?</t>
        </is>
      </c>
      <c r="N63" s="30" t="inlineStr">
        <is>
          <t>Passer de la reconnaissance à la préférence.</t>
        </is>
      </c>
    </row>
    <row r="64" ht="41.25" customHeight="1">
      <c r="A64" s="30" t="inlineStr">
        <is>
          <t>R1D</t>
        </is>
      </c>
      <c r="B64" s="30" t="inlineStr">
        <is>
          <t>Rayonnement</t>
        </is>
      </c>
      <c r="C64" s="30" t="n">
        <v>1</v>
      </c>
      <c r="D64" s="30" t="inlineStr">
        <is>
          <t>En dehors de vos clients actuels, jusqu’où votre entreprise est-elle connue ?</t>
        </is>
      </c>
      <c r="E64" s="30" t="inlineStr">
        <is>
          <t>Elle est reconnue par une partie importante du marché que je vise.</t>
        </is>
      </c>
      <c r="F64" s="30" t="inlineStr">
        <is>
          <t>Notoriété</t>
        </is>
      </c>
      <c r="G64" s="30" t="inlineStr">
        <is>
          <t>Force</t>
        </is>
      </c>
      <c r="H64" s="45" t="n">
        <v>0</v>
      </c>
      <c r="I64" s="30" t="inlineStr">
        <is>
          <t>Aucune alerte</t>
        </is>
      </c>
      <c r="J64" s="30" t="inlineStr">
        <is>
          <t>L’entreprise est reconnue par une partie importante de son marché cible.</t>
        </is>
      </c>
      <c r="K64" s="30" t="str"/>
      <c r="L64" s="30" t="str"/>
      <c r="M64" s="30" t="inlineStr">
        <is>
          <t>Quels éléments ont le plus contribué à cette reconnaissance ?</t>
        </is>
      </c>
      <c r="N64" s="30" t="inlineStr">
        <is>
          <t>Identifier les actifs de notoriété.</t>
        </is>
      </c>
    </row>
    <row r="65" ht="41.25" customHeight="1">
      <c r="A65" s="30" t="inlineStr">
        <is>
          <t>R2A</t>
        </is>
      </c>
      <c r="B65" s="30" t="inlineStr">
        <is>
          <t>Rayonnement</t>
        </is>
      </c>
      <c r="C65" s="30" t="n">
        <v>2</v>
      </c>
      <c r="D65" s="30" t="inlineStr">
        <is>
          <t>Lorsqu’un prospect choisit un concurrent, savez-vous généralement pourquoi ?</t>
        </is>
      </c>
      <c r="E65" s="30" t="inlineStr">
        <is>
          <t>Je reçois rarement des informations sur les raisons de son choix.</t>
        </is>
      </c>
      <c r="F65" s="30" t="inlineStr">
        <is>
          <t>Lecture concurrentielle</t>
        </is>
      </c>
      <c r="G65" s="30" t="inlineStr">
        <is>
          <t>Difficulté</t>
        </is>
      </c>
      <c r="H65" s="45" t="n">
        <v>3</v>
      </c>
      <c r="I65" s="30" t="inlineStr">
        <is>
          <t>Élevée</t>
        </is>
      </c>
      <c r="J65" s="30" t="inlineStr">
        <is>
          <t>Les raisons qui conduisent un prospect chez un concurrent sont rarement connues.</t>
        </is>
      </c>
      <c r="K65" s="30" t="inlineStr">
        <is>
          <t>Les pertes commerciales ne produisent presque aucune information exploitable.</t>
        </is>
      </c>
      <c r="L65" s="30" t="inlineStr">
        <is>
          <t>Les décisions commerciales peuvent être prises sans comprendre les arbitrages du marché.</t>
        </is>
      </c>
      <c r="M65" s="30" t="inlineStr">
        <is>
          <t>Comment analysez-vous aujourd’hui une opportunité commerciale perdue ?</t>
        </is>
      </c>
      <c r="N65" s="30" t="inlineStr">
        <is>
          <t>Évaluer la connaissance des pertes.</t>
        </is>
      </c>
    </row>
    <row r="66" ht="41.25" customHeight="1">
      <c r="A66" s="30" t="inlineStr">
        <is>
          <t>R2B</t>
        </is>
      </c>
      <c r="B66" s="30" t="inlineStr">
        <is>
          <t>Rayonnement</t>
        </is>
      </c>
      <c r="C66" s="30" t="n">
        <v>2</v>
      </c>
      <c r="D66" s="30" t="inlineStr">
        <is>
          <t>Lorsqu’un prospect choisit un concurrent, savez-vous généralement pourquoi ?</t>
        </is>
      </c>
      <c r="E66" s="30" t="inlineStr">
        <is>
          <t>J’essaie de comprendre sa décision à partir de ce que j’observe.</t>
        </is>
      </c>
      <c r="F66" s="30" t="inlineStr">
        <is>
          <t>Lecture concurrentielle</t>
        </is>
      </c>
      <c r="G66" s="30" t="inlineStr">
        <is>
          <t>Difficulté</t>
        </is>
      </c>
      <c r="H66" s="45" t="n">
        <v>2</v>
      </c>
      <c r="I66" s="30" t="inlineStr">
        <is>
          <t>Modérée</t>
        </is>
      </c>
      <c r="J66" s="30" t="inlineStr">
        <is>
          <t>Les raisons du choix d’un concurrent sont principalement déduites par observation.</t>
        </is>
      </c>
      <c r="K66" s="30" t="inlineStr">
        <is>
          <t>La lecture des pertes repose surtout sur des suppositions.</t>
        </is>
      </c>
      <c r="L66" s="30" t="inlineStr">
        <is>
          <t>Certaines causes réelles de perte peuvent être mal interprétées.</t>
        </is>
      </c>
      <c r="M66" s="30" t="inlineStr">
        <is>
          <t>Quand avez-vous demandé pour la dernière fois à un prospect pourquoi il n’a pas choisi votre offre ?</t>
        </is>
      </c>
      <c r="N66" s="30" t="inlineStr">
        <is>
          <t>Tester l’accès au retour direct.</t>
        </is>
      </c>
    </row>
    <row r="67" ht="41.25" customHeight="1">
      <c r="A67" s="30" t="inlineStr">
        <is>
          <t>R2C</t>
        </is>
      </c>
      <c r="B67" s="30" t="inlineStr">
        <is>
          <t>Rayonnement</t>
        </is>
      </c>
      <c r="C67" s="30" t="n">
        <v>2</v>
      </c>
      <c r="D67" s="30" t="inlineStr">
        <is>
          <t>Lorsqu’un prospect choisit un concurrent, savez-vous généralement pourquoi ?</t>
        </is>
      </c>
      <c r="E67" s="30" t="inlineStr">
        <is>
          <t>Il m’arrive de lui demander ce qui a motivé son choix.</t>
        </is>
      </c>
      <c r="F67" s="30" t="inlineStr">
        <is>
          <t>Lecture concurrentielle</t>
        </is>
      </c>
      <c r="G67" s="30" t="inlineStr">
        <is>
          <t>Point de vigilance</t>
        </is>
      </c>
      <c r="H67" s="45" t="n">
        <v>1</v>
      </c>
      <c r="I67" s="30" t="inlineStr">
        <is>
          <t>Légère</t>
        </is>
      </c>
      <c r="J67" s="30" t="inlineStr">
        <is>
          <t>Les raisons du choix d’un concurrent sont parfois demandées au prospect.</t>
        </is>
      </c>
      <c r="K67" s="30" t="inlineStr">
        <is>
          <t>Le retour sur les pertes existe, mais n’est pas systématique.</t>
        </is>
      </c>
      <c r="L67" s="30" t="inlineStr">
        <is>
          <t>Les enseignements peuvent rester anecdotiques et difficiles à comparer.</t>
        </is>
      </c>
      <c r="M67" s="30" t="inlineStr">
        <is>
          <t>Où conservez-vous les raisons recueillies auprès des prospects perdus ?</t>
        </is>
      </c>
      <c r="N67" s="30" t="inlineStr">
        <is>
          <t>Vérifier la capitalisation des retours.</t>
        </is>
      </c>
    </row>
    <row r="68" ht="41.25" customHeight="1">
      <c r="A68" s="30" t="inlineStr">
        <is>
          <t>R2D</t>
        </is>
      </c>
      <c r="B68" s="30" t="inlineStr">
        <is>
          <t>Rayonnement</t>
        </is>
      </c>
      <c r="C68" s="30" t="n">
        <v>2</v>
      </c>
      <c r="D68" s="30" t="inlineStr">
        <is>
          <t>Lorsqu’un prospect choisit un concurrent, savez-vous généralement pourquoi ?</t>
        </is>
      </c>
      <c r="E68" s="30" t="inlineStr">
        <is>
          <t>Je recueille régulièrement ces raisons pour mieux comprendre mon marché.</t>
        </is>
      </c>
      <c r="F68" s="30" t="inlineStr">
        <is>
          <t>Lecture concurrentielle</t>
        </is>
      </c>
      <c r="G68" s="30" t="inlineStr">
        <is>
          <t>Force</t>
        </is>
      </c>
      <c r="H68" s="45" t="n">
        <v>0</v>
      </c>
      <c r="I68" s="30" t="inlineStr">
        <is>
          <t>Aucune alerte</t>
        </is>
      </c>
      <c r="J68" s="30" t="inlineStr">
        <is>
          <t>Les raisons de perte sont recueillies régulièrement pour comprendre le marché.</t>
        </is>
      </c>
      <c r="K68" s="30" t="str"/>
      <c r="L68" s="30" t="str"/>
      <c r="M68" s="30" t="inlineStr">
        <is>
          <t>Quelles raisons reviennent le plus souvent dans vos pertes commerciales ?</t>
        </is>
      </c>
      <c r="N68" s="30" t="inlineStr">
        <is>
          <t>Exploiter la connaissance existante.</t>
        </is>
      </c>
    </row>
    <row r="69" ht="41.25" customHeight="1">
      <c r="A69" s="30" t="inlineStr">
        <is>
          <t>R3A</t>
        </is>
      </c>
      <c r="B69" s="30" t="inlineStr">
        <is>
          <t>Rayonnement</t>
        </is>
      </c>
      <c r="C69" s="30" t="n">
        <v>3</v>
      </c>
      <c r="D69" s="30" t="inlineStr">
        <is>
          <t>Pour quelle raison vos clients vous choisissent-ils principalement ?</t>
        </is>
      </c>
      <c r="E69" s="30" t="inlineStr">
        <is>
          <t>Ils viennent souvent vers moi parce que mes prix leur conviennent.</t>
        </is>
      </c>
      <c r="F69" s="30" t="inlineStr">
        <is>
          <t>Différenciation</t>
        </is>
      </c>
      <c r="G69" s="30" t="inlineStr">
        <is>
          <t>Contexte</t>
        </is>
      </c>
      <c r="H69" s="45" t="n">
        <v>0</v>
      </c>
      <c r="I69" s="30" t="inlineStr">
        <is>
          <t>Aucune alerte</t>
        </is>
      </c>
      <c r="J69" s="30" t="inlineStr">
        <is>
          <t>La principale raison de choix déclarée est le prix.</t>
        </is>
      </c>
      <c r="K69" s="30" t="str"/>
      <c r="L69" s="30" t="inlineStr">
        <is>
          <t>La solidité de cet avantage dépend de la capacité à le maintenir sans fragiliser la marge.</t>
        </is>
      </c>
      <c r="M69" s="30" t="inlineStr">
        <is>
          <t>Que se passe-t-il lorsqu’un concurrent propose un prix inférieur ?</t>
        </is>
      </c>
      <c r="N69" s="30" t="inlineStr">
        <is>
          <t>Comprendre la solidité de la différenciation.</t>
        </is>
      </c>
    </row>
    <row r="70" ht="41.25" customHeight="1">
      <c r="A70" s="30" t="inlineStr">
        <is>
          <t>R3B</t>
        </is>
      </c>
      <c r="B70" s="30" t="inlineStr">
        <is>
          <t>Rayonnement</t>
        </is>
      </c>
      <c r="C70" s="30" t="n">
        <v>3</v>
      </c>
      <c r="D70" s="30" t="inlineStr">
        <is>
          <t>Pour quelle raison vos clients vous choisissent-ils principalement ?</t>
        </is>
      </c>
      <c r="E70" s="30" t="inlineStr">
        <is>
          <t>Ils me choisissent parce que je suis proche d’eux et facilement accessible.</t>
        </is>
      </c>
      <c r="F70" s="30" t="inlineStr">
        <is>
          <t>Différenciation</t>
        </is>
      </c>
      <c r="G70" s="30" t="inlineStr">
        <is>
          <t>Contexte</t>
        </is>
      </c>
      <c r="H70" s="45" t="n">
        <v>0</v>
      </c>
      <c r="I70" s="30" t="inlineStr">
        <is>
          <t>Aucune alerte</t>
        </is>
      </c>
      <c r="J70" s="30" t="inlineStr">
        <is>
          <t>La principale raison de choix déclarée est la proximité.</t>
        </is>
      </c>
      <c r="K70" s="30" t="str"/>
      <c r="L70" s="30" t="inlineStr">
        <is>
          <t>L’avantage peut dépendre de la présence personnelle ou géographique.</t>
        </is>
      </c>
      <c r="M70" s="30" t="inlineStr">
        <is>
          <t>Cette proximité reste-t-elle perceptible lorsque le volume de clients augmente ?</t>
        </is>
      </c>
      <c r="N70" s="30" t="inlineStr">
        <is>
          <t>Comprendre la capacité à maintenir l’avantage.</t>
        </is>
      </c>
    </row>
    <row r="71" ht="41.25" customHeight="1">
      <c r="A71" s="30" t="inlineStr">
        <is>
          <t>R3C</t>
        </is>
      </c>
      <c r="B71" s="30" t="inlineStr">
        <is>
          <t>Rayonnement</t>
        </is>
      </c>
      <c r="C71" s="30" t="n">
        <v>3</v>
      </c>
      <c r="D71" s="30" t="inlineStr">
        <is>
          <t>Pour quelle raison vos clients vous choisissent-ils principalement ?</t>
        </is>
      </c>
      <c r="E71" s="30" t="inlineStr">
        <is>
          <t>Ils reviennent parce qu’ils font confiance à la qualité de ce que je propose.</t>
        </is>
      </c>
      <c r="F71" s="30" t="inlineStr">
        <is>
          <t>Différenciation</t>
        </is>
      </c>
      <c r="G71" s="30" t="inlineStr">
        <is>
          <t>Contexte</t>
        </is>
      </c>
      <c r="H71" s="45" t="n">
        <v>0</v>
      </c>
      <c r="I71" s="30" t="inlineStr">
        <is>
          <t>Aucune alerte</t>
        </is>
      </c>
      <c r="J71" s="30" t="inlineStr">
        <is>
          <t>La principale raison de choix déclarée est la qualité.</t>
        </is>
      </c>
      <c r="K71" s="30" t="str"/>
      <c r="L71" s="30" t="inlineStr">
        <is>
          <t>La qualité doit être rendue visible et prouvée avant l’achat.</t>
        </is>
      </c>
      <c r="M71" s="30" t="inlineStr">
        <is>
          <t>Comment un nouveau prospect peut-il vérifier votre niveau de qualité avant de vous choisir ?</t>
        </is>
      </c>
      <c r="N71" s="30" t="inlineStr">
        <is>
          <t>Rechercher les preuves de qualité.</t>
        </is>
      </c>
    </row>
    <row r="72" ht="41.25" customHeight="1">
      <c r="A72" s="30" t="inlineStr">
        <is>
          <t>R3D</t>
        </is>
      </c>
      <c r="B72" s="30" t="inlineStr">
        <is>
          <t>Rayonnement</t>
        </is>
      </c>
      <c r="C72" s="30" t="n">
        <v>3</v>
      </c>
      <c r="D72" s="30" t="inlineStr">
        <is>
          <t>Pour quelle raison vos clients vous choisissent-ils principalement ?</t>
        </is>
      </c>
      <c r="E72" s="30" t="inlineStr">
        <is>
          <t>Ils trouvent chez moi un avantage qu’ils retrouvent difficilement ailleurs.</t>
        </is>
      </c>
      <c r="F72" s="30" t="inlineStr">
        <is>
          <t>Différenciation</t>
        </is>
      </c>
      <c r="G72" s="30" t="inlineStr">
        <is>
          <t>Contexte</t>
        </is>
      </c>
      <c r="H72" s="45" t="n">
        <v>0</v>
      </c>
      <c r="I72" s="30" t="inlineStr">
        <is>
          <t>Aucune alerte</t>
        </is>
      </c>
      <c r="J72" s="30" t="inlineStr">
        <is>
          <t>La principale raison de choix déclarée est un avantage difficile à retrouver ailleurs.</t>
        </is>
      </c>
      <c r="K72" s="30" t="str"/>
      <c r="L72" s="30" t="inlineStr">
        <is>
          <t>Cet avantage doit être formulé et protégé pour rester distinctif.</t>
        </is>
      </c>
      <c r="M72" s="30" t="inlineStr">
        <is>
          <t>Pouvez-vous expliquer cet avantage en une phrase et apporter une preuve ?</t>
        </is>
      </c>
      <c r="N72" s="30" t="inlineStr">
        <is>
          <t>Tester la clarté de l’avantage.</t>
        </is>
      </c>
    </row>
    <row r="73" ht="41.25" customHeight="1">
      <c r="A73" s="30" t="inlineStr">
        <is>
          <t>R4A</t>
        </is>
      </c>
      <c r="B73" s="30" t="inlineStr">
        <is>
          <t>Rayonnement</t>
        </is>
      </c>
      <c r="C73" s="30" t="n">
        <v>4</v>
      </c>
      <c r="D73" s="30" t="inlineStr">
        <is>
          <t>Une personne qui découvre votre entreprise comprend-elle facilement ce qui vous distingue ?</t>
        </is>
      </c>
      <c r="E73" s="30" t="inlineStr">
        <is>
          <t>Je ne saurais pas encore expliquer clairement ce qui me différencie.</t>
        </is>
      </c>
      <c r="F73" s="30" t="inlineStr">
        <is>
          <t>Différenciation</t>
        </is>
      </c>
      <c r="G73" s="30" t="inlineStr">
        <is>
          <t>Difficulté</t>
        </is>
      </c>
      <c r="H73" s="45" t="n">
        <v>3</v>
      </c>
      <c r="I73" s="30" t="inlineStr">
        <is>
          <t>Élevée</t>
        </is>
      </c>
      <c r="J73" s="30" t="inlineStr">
        <is>
          <t>Le dirigeant ne peut pas encore expliquer clairement ce qui différencie l’entreprise.</t>
        </is>
      </c>
      <c r="K73" s="30" t="inlineStr">
        <is>
          <t>La proposition de valeur n’est pas clairement définie.</t>
        </is>
      </c>
      <c r="L73" s="30" t="inlineStr">
        <is>
          <t>Les prospects peuvent comparer l’entreprise principalement sur le prix ou la proximité.</t>
        </is>
      </c>
      <c r="M73" s="30" t="inlineStr">
        <is>
          <t>Quelle phrase utilisez-vous aujourd’hui pour expliquer pourquoi vous choisir ?</t>
        </is>
      </c>
      <c r="N73" s="30" t="inlineStr">
        <is>
          <t>Faire émerger la promesse actuelle.</t>
        </is>
      </c>
    </row>
    <row r="74" ht="41.25" customHeight="1">
      <c r="A74" s="30" t="inlineStr">
        <is>
          <t>R4B</t>
        </is>
      </c>
      <c r="B74" s="30" t="inlineStr">
        <is>
          <t>Rayonnement</t>
        </is>
      </c>
      <c r="C74" s="30" t="n">
        <v>4</v>
      </c>
      <c r="D74" s="30" t="inlineStr">
        <is>
          <t>Une personne qui découvre votre entreprise comprend-elle facilement ce qui vous distingue ?</t>
        </is>
      </c>
      <c r="E74" s="30" t="inlineStr">
        <is>
          <t>J’arrive à l’expliquer lorsque je présente personnellement mon activité.</t>
        </is>
      </c>
      <c r="F74" s="30" t="inlineStr">
        <is>
          <t>Différenciation</t>
        </is>
      </c>
      <c r="G74" s="30" t="inlineStr">
        <is>
          <t>Difficulté</t>
        </is>
      </c>
      <c r="H74" s="45" t="n">
        <v>2</v>
      </c>
      <c r="I74" s="30" t="inlineStr">
        <is>
          <t>Modérée</t>
        </is>
      </c>
      <c r="J74" s="30" t="inlineStr">
        <is>
          <t>La différence est comprise lorsque le dirigeant présente personnellement l’activité.</t>
        </is>
      </c>
      <c r="K74" s="30" t="inlineStr">
        <is>
          <t>La proposition de valeur dépend encore de l’explication orale du dirigeant.</t>
        </is>
      </c>
      <c r="L74" s="30" t="inlineStr">
        <is>
          <t>La communication autonome peut ne pas transmettre ce qui rend l’offre particulière.</t>
        </is>
      </c>
      <c r="M74" s="30" t="inlineStr">
        <is>
          <t>Un prospect qui ne vous parle pas directement comprend-il la même chose ?</t>
        </is>
      </c>
      <c r="N74" s="30" t="inlineStr">
        <is>
          <t>Tester l’autonomie de la communication.</t>
        </is>
      </c>
    </row>
    <row r="75" ht="41.25" customHeight="1">
      <c r="A75" s="30" t="inlineStr">
        <is>
          <t>R4C</t>
        </is>
      </c>
      <c r="B75" s="30" t="inlineStr">
        <is>
          <t>Rayonnement</t>
        </is>
      </c>
      <c r="C75" s="30" t="n">
        <v>4</v>
      </c>
      <c r="D75" s="30" t="inlineStr">
        <is>
          <t>Une personne qui découvre votre entreprise comprend-elle facilement ce qui vous distingue ?</t>
        </is>
      </c>
      <c r="E75" s="30" t="inlineStr">
        <is>
          <t>Ma différence apparaît déjà dans mes offres et ma communication.</t>
        </is>
      </c>
      <c r="F75" s="30" t="inlineStr">
        <is>
          <t>Différenciation</t>
        </is>
      </c>
      <c r="G75" s="30" t="inlineStr">
        <is>
          <t>Point de vigilance</t>
        </is>
      </c>
      <c r="H75" s="45" t="n">
        <v>1</v>
      </c>
      <c r="I75" s="30" t="inlineStr">
        <is>
          <t>Légère</t>
        </is>
      </c>
      <c r="J75" s="30" t="inlineStr">
        <is>
          <t>La différence apparaît déjà dans les offres et la communication.</t>
        </is>
      </c>
      <c r="K75" s="30" t="inlineStr">
        <is>
          <t>La différenciation est formulée, mais sa reconnaissance spontanée n’est pas encore établie.</t>
        </is>
      </c>
      <c r="L75" s="30" t="inlineStr">
        <is>
          <t>Le marché peut voir la différence sans encore l’associer fortement à la marque.</t>
        </is>
      </c>
      <c r="M75" s="30" t="inlineStr">
        <is>
          <t>Quelles preuves montrent que les prospects perçoivent réellement cette différence ?</t>
        </is>
      </c>
      <c r="N75" s="30" t="inlineStr">
        <is>
          <t>Rechercher une preuve de perception.</t>
        </is>
      </c>
    </row>
    <row r="76" ht="41.25" customHeight="1">
      <c r="A76" s="30" t="inlineStr">
        <is>
          <t>R4D</t>
        </is>
      </c>
      <c r="B76" s="30" t="inlineStr">
        <is>
          <t>Rayonnement</t>
        </is>
      </c>
      <c r="C76" s="30" t="n">
        <v>4</v>
      </c>
      <c r="D76" s="30" t="inlineStr">
        <is>
          <t>Une personne qui découvre votre entreprise comprend-elle facilement ce qui vous distingue ?</t>
        </is>
      </c>
      <c r="E76" s="30" t="inlineStr">
        <is>
          <t>Mes clients citent spontanément ce qui rend mon entreprise particulière.</t>
        </is>
      </c>
      <c r="F76" s="30" t="inlineStr">
        <is>
          <t>Différenciation</t>
        </is>
      </c>
      <c r="G76" s="30" t="inlineStr">
        <is>
          <t>Force</t>
        </is>
      </c>
      <c r="H76" s="45" t="n">
        <v>0</v>
      </c>
      <c r="I76" s="30" t="inlineStr">
        <is>
          <t>Aucune alerte</t>
        </is>
      </c>
      <c r="J76" s="30" t="inlineStr">
        <is>
          <t>Les clients citent spontanément ce qui rend l’entreprise particulière.</t>
        </is>
      </c>
      <c r="K76" s="30" t="str"/>
      <c r="L76" s="30" t="str"/>
      <c r="M76" s="30" t="inlineStr">
        <is>
          <t>Quels mots utilisent-ils le plus souvent pour décrire cette différence ?</t>
        </is>
      </c>
      <c r="N76" s="30" t="inlineStr">
        <is>
          <t>Capitaliser sur la perception du marché.</t>
        </is>
      </c>
    </row>
    <row r="77" ht="41.25" customHeight="1">
      <c r="A77" s="30" t="inlineStr">
        <is>
          <t>R5A</t>
        </is>
      </c>
      <c r="B77" s="30" t="inlineStr">
        <is>
          <t>Rayonnement</t>
        </is>
      </c>
      <c r="C77" s="30" t="n">
        <v>5</v>
      </c>
      <c r="D77" s="30" t="inlineStr">
        <is>
          <t>Comment votre entreprise est-elle actuellement présente sur les canaux numériques ?</t>
        </is>
      </c>
      <c r="E77" s="30" t="inlineStr">
        <is>
          <t>Mon entreprise y est peu présente ou ne dispose pas encore de page active.</t>
        </is>
      </c>
      <c r="F77" s="30" t="inlineStr">
        <is>
          <t>Présence digitale</t>
        </is>
      </c>
      <c r="G77" s="30" t="inlineStr">
        <is>
          <t>Difficulté</t>
        </is>
      </c>
      <c r="H77" s="45" t="n">
        <v>3</v>
      </c>
      <c r="I77" s="30" t="inlineStr">
        <is>
          <t>Élevée</t>
        </is>
      </c>
      <c r="J77" s="30" t="inlineStr">
        <is>
          <t>L’entreprise est peu présente ou ne dispose pas de page active.</t>
        </is>
      </c>
      <c r="K77" s="30" t="inlineStr">
        <is>
          <t>La présence numérique est insuffisante pour installer une visibilité continue.</t>
        </is>
      </c>
      <c r="L77" s="30" t="inlineStr">
        <is>
          <t>Les prospects qui recherchent l’entreprise en ligne peuvent trouver peu d’informations récentes.</t>
        </is>
      </c>
      <c r="M77" s="30" t="inlineStr">
        <is>
          <t>Que trouve aujourd’hui un prospect qui recherche votre entreprise sur internet ?</t>
        </is>
      </c>
      <c r="N77" s="30" t="inlineStr">
        <is>
          <t>Évaluer la visibilité disponible.</t>
        </is>
      </c>
    </row>
    <row r="78" ht="41.25" customHeight="1">
      <c r="A78" s="30" t="inlineStr">
        <is>
          <t>R5B</t>
        </is>
      </c>
      <c r="B78" s="30" t="inlineStr">
        <is>
          <t>Rayonnement</t>
        </is>
      </c>
      <c r="C78" s="30" t="n">
        <v>5</v>
      </c>
      <c r="D78" s="30" t="inlineStr">
        <is>
          <t>Comment votre entreprise est-elle actuellement présente sur les canaux numériques ?</t>
        </is>
      </c>
      <c r="E78" s="30" t="inlineStr">
        <is>
          <t>Je publie principalement lorsque j’ai une actualité ou du temps disponible.</t>
        </is>
      </c>
      <c r="F78" s="30" t="inlineStr">
        <is>
          <t>Présence digitale</t>
        </is>
      </c>
      <c r="G78" s="30" t="inlineStr">
        <is>
          <t>Difficulté</t>
        </is>
      </c>
      <c r="H78" s="45" t="n">
        <v>2</v>
      </c>
      <c r="I78" s="30" t="inlineStr">
        <is>
          <t>Modérée</t>
        </is>
      </c>
      <c r="J78" s="30" t="inlineStr">
        <is>
          <t>La publication dépend principalement des actualités ou du temps disponible.</t>
        </is>
      </c>
      <c r="K78" s="30" t="inlineStr">
        <is>
          <t>La présence numérique est irrégulière.</t>
        </is>
      </c>
      <c r="L78" s="30" t="inlineStr">
        <is>
          <t>La marque peut disparaître de l’attention du marché entre deux publications.</t>
        </is>
      </c>
      <c r="M78" s="30" t="inlineStr">
        <is>
          <t>Quelle est la principale raison des périodes sans communication ?</t>
        </is>
      </c>
      <c r="N78" s="30" t="inlineStr">
        <is>
          <t>Identifier la cause de l’irrégularité.</t>
        </is>
      </c>
    </row>
    <row r="79" ht="41.25" customHeight="1">
      <c r="A79" s="30" t="inlineStr">
        <is>
          <t>R5C</t>
        </is>
      </c>
      <c r="B79" s="30" t="inlineStr">
        <is>
          <t>Rayonnement</t>
        </is>
      </c>
      <c r="C79" s="30" t="n">
        <v>5</v>
      </c>
      <c r="D79" s="30" t="inlineStr">
        <is>
          <t>Comment votre entreprise est-elle actuellement présente sur les canaux numériques ?</t>
        </is>
      </c>
      <c r="E79" s="30" t="inlineStr">
        <is>
          <t>Je communique régulièrement sur le canal que j’utilise le plus.</t>
        </is>
      </c>
      <c r="F79" s="30" t="inlineStr">
        <is>
          <t>Présence digitale</t>
        </is>
      </c>
      <c r="G79" s="30" t="inlineStr">
        <is>
          <t>Point de vigilance</t>
        </is>
      </c>
      <c r="H79" s="45" t="n">
        <v>1</v>
      </c>
      <c r="I79" s="30" t="inlineStr">
        <is>
          <t>Légère</t>
        </is>
      </c>
      <c r="J79" s="30" t="inlineStr">
        <is>
          <t>La communication est régulière sur un canal principal.</t>
        </is>
      </c>
      <c r="K79" s="30" t="inlineStr">
        <is>
          <t>La présence numérique repose essentiellement sur un seul canal.</t>
        </is>
      </c>
      <c r="L79" s="30" t="inlineStr">
        <is>
          <t>La portée et l’acquisition peuvent dépendre fortement de ce canal.</t>
        </is>
      </c>
      <c r="M79" s="30" t="inlineStr">
        <is>
          <t>Que se passerait-il si ce canal produisait soudainement moins de résultats ?</t>
        </is>
      </c>
      <c r="N79" s="30" t="inlineStr">
        <is>
          <t>Évaluer la dépendance au canal.</t>
        </is>
      </c>
    </row>
    <row r="80" ht="41.25" customHeight="1">
      <c r="A80" s="30" t="inlineStr">
        <is>
          <t>R5D</t>
        </is>
      </c>
      <c r="B80" s="30" t="inlineStr">
        <is>
          <t>Rayonnement</t>
        </is>
      </c>
      <c r="C80" s="30" t="n">
        <v>5</v>
      </c>
      <c r="D80" s="30" t="inlineStr">
        <is>
          <t>Comment votre entreprise est-elle actuellement présente sur les canaux numériques ?</t>
        </is>
      </c>
      <c r="E80" s="30" t="inlineStr">
        <is>
          <t>Je maintiens une présence continue sur les canaux utiles à mon activité.</t>
        </is>
      </c>
      <c r="F80" s="30" t="inlineStr">
        <is>
          <t>Présence digitale</t>
        </is>
      </c>
      <c r="G80" s="30" t="inlineStr">
        <is>
          <t>Force</t>
        </is>
      </c>
      <c r="H80" s="45" t="n">
        <v>0</v>
      </c>
      <c r="I80" s="30" t="inlineStr">
        <is>
          <t>Aucune alerte</t>
        </is>
      </c>
      <c r="J80" s="30" t="inlineStr">
        <is>
          <t>L’entreprise maintient une présence continue sur les canaux utiles à son activité.</t>
        </is>
      </c>
      <c r="K80" s="30" t="str"/>
      <c r="L80" s="30" t="str"/>
      <c r="M80" s="30" t="inlineStr">
        <is>
          <t>Quels canaux contribuent réellement aux demandes commerciales ?</t>
        </is>
      </c>
      <c r="N80" s="30" t="inlineStr">
        <is>
          <t>Identifier les canaux les plus utiles.</t>
        </is>
      </c>
    </row>
    <row r="81" ht="41.25" customHeight="1">
      <c r="A81" s="30" t="inlineStr">
        <is>
          <t>R6A</t>
        </is>
      </c>
      <c r="B81" s="30" t="inlineStr">
        <is>
          <t>Rayonnement</t>
        </is>
      </c>
      <c r="C81" s="30" t="n">
        <v>6</v>
      </c>
      <c r="D81" s="30" t="inlineStr">
        <is>
          <t>Que produit concrètement votre présence numérique pour votre entreprise ?</t>
        </is>
      </c>
      <c r="E81" s="30" t="inlineStr">
        <is>
          <t>Je ne mesure pas encore réellement ce qu’elle apporte à mon activité.</t>
        </is>
      </c>
      <c r="F81" s="30" t="inlineStr">
        <is>
          <t>Performance digitale</t>
        </is>
      </c>
      <c r="G81" s="30" t="inlineStr">
        <is>
          <t>Difficulté</t>
        </is>
      </c>
      <c r="H81" s="45" t="n">
        <v>3</v>
      </c>
      <c r="I81" s="30" t="inlineStr">
        <is>
          <t>Élevée</t>
        </is>
      </c>
      <c r="J81" s="30" t="inlineStr">
        <is>
          <t>L’apport réel de la présence numérique n’est pas mesuré.</t>
        </is>
      </c>
      <c r="K81" s="30" t="inlineStr">
        <is>
          <t>L’entreprise ne sait pas ce que le digital produit pour l’activité.</t>
        </is>
      </c>
      <c r="L81" s="30" t="inlineStr">
        <is>
          <t>Il est difficile d’identifier les actions qui méritent d’être maintenues ou corrigées.</t>
        </is>
      </c>
      <c r="M81" s="30" t="inlineStr">
        <is>
          <t>Quelles données relient aujourd’hui vos actions numériques à vos résultats commerciaux ?</t>
        </is>
      </c>
      <c r="N81" s="30" t="inlineStr">
        <is>
          <t>Identifier le niveau de mesure.</t>
        </is>
      </c>
    </row>
    <row r="82" ht="41.25" customHeight="1">
      <c r="A82" s="30" t="inlineStr">
        <is>
          <t>R6B</t>
        </is>
      </c>
      <c r="B82" s="30" t="inlineStr">
        <is>
          <t>Rayonnement</t>
        </is>
      </c>
      <c r="C82" s="30" t="n">
        <v>6</v>
      </c>
      <c r="D82" s="30" t="inlineStr">
        <is>
          <t>Que produit concrètement votre présence numérique pour votre entreprise ?</t>
        </is>
      </c>
      <c r="E82" s="30" t="inlineStr">
        <is>
          <t>Elle me permet surtout d’obtenir de la visibilité et des réactions.</t>
        </is>
      </c>
      <c r="F82" s="30" t="inlineStr">
        <is>
          <t>Performance digitale</t>
        </is>
      </c>
      <c r="G82" s="30" t="inlineStr">
        <is>
          <t>Difficulté</t>
        </is>
      </c>
      <c r="H82" s="45" t="n">
        <v>2</v>
      </c>
      <c r="I82" s="30" t="inlineStr">
        <is>
          <t>Modérée</t>
        </is>
      </c>
      <c r="J82" s="30" t="inlineStr">
        <is>
          <t>La présence numérique produit surtout de la visibilité et des réactions.</t>
        </is>
      </c>
      <c r="K82" s="30" t="inlineStr">
        <is>
          <t>La visibilité numérique se transforme peu en opportunités commerciales identifiables.</t>
        </is>
      </c>
      <c r="L82" s="30" t="inlineStr">
        <is>
          <t>Le passage entre attention, demande et vente peut être insuffisamment structuré.</t>
        </is>
      </c>
      <c r="M82" s="30" t="inlineStr">
        <is>
          <t>Que doit faire une personne intéressée après avoir vu l’un de vos contenus ?</t>
        </is>
      </c>
      <c r="N82" s="30" t="inlineStr">
        <is>
          <t>Explorer le parcours de conversion.</t>
        </is>
      </c>
    </row>
    <row r="83" ht="41.25" customHeight="1">
      <c r="A83" s="30" t="inlineStr">
        <is>
          <t>R6C</t>
        </is>
      </c>
      <c r="B83" s="30" t="inlineStr">
        <is>
          <t>Rayonnement</t>
        </is>
      </c>
      <c r="C83" s="30" t="n">
        <v>6</v>
      </c>
      <c r="D83" s="30" t="inlineStr">
        <is>
          <t>Que produit concrètement votre présence numérique pour votre entreprise ?</t>
        </is>
      </c>
      <c r="E83" s="30" t="inlineStr">
        <is>
          <t>Elle génère régulièrement des demandes d’information ou de devis.</t>
        </is>
      </c>
      <c r="F83" s="30" t="inlineStr">
        <is>
          <t>Performance digitale</t>
        </is>
      </c>
      <c r="G83" s="30" t="inlineStr">
        <is>
          <t>Point de vigilance</t>
        </is>
      </c>
      <c r="H83" s="45" t="n">
        <v>1</v>
      </c>
      <c r="I83" s="30" t="inlineStr">
        <is>
          <t>Légère</t>
        </is>
      </c>
      <c r="J83" s="30" t="inlineStr">
        <is>
          <t>La présence numérique génère régulièrement des demandes ou des devis.</t>
        </is>
      </c>
      <c r="K83" s="30" t="inlineStr">
        <is>
          <t>Les opportunités existent, mais leur transformation en ventes n’est pas encore démontrée.</t>
        </is>
      </c>
      <c r="L83" s="30" t="inlineStr">
        <is>
          <t>Le suivi entre la demande initiale et la vente peut manquer de mesure.</t>
        </is>
      </c>
      <c r="M83" s="30" t="inlineStr">
        <is>
          <t>Quelle proportion de ces demandes devient réellement cliente ?</t>
        </is>
      </c>
      <c r="N83" s="30" t="inlineStr">
        <is>
          <t>Mesurer la conversion commerciale.</t>
        </is>
      </c>
    </row>
    <row r="84" ht="41.25" customHeight="1">
      <c r="A84" s="30" t="inlineStr">
        <is>
          <t>R6D</t>
        </is>
      </c>
      <c r="B84" s="30" t="inlineStr">
        <is>
          <t>Rayonnement</t>
        </is>
      </c>
      <c r="C84" s="30" t="n">
        <v>6</v>
      </c>
      <c r="D84" s="30" t="inlineStr">
        <is>
          <t>Que produit concrètement votre présence numérique pour votre entreprise ?</t>
        </is>
      </c>
      <c r="E84" s="30" t="inlineStr">
        <is>
          <t>Je peux identifier des ventes directement issues de mes actions numériques.</t>
        </is>
      </c>
      <c r="F84" s="30" t="inlineStr">
        <is>
          <t>Performance digitale</t>
        </is>
      </c>
      <c r="G84" s="30" t="inlineStr">
        <is>
          <t>Force</t>
        </is>
      </c>
      <c r="H84" s="45" t="n">
        <v>0</v>
      </c>
      <c r="I84" s="30" t="inlineStr">
        <is>
          <t>Aucune alerte</t>
        </is>
      </c>
      <c r="J84" s="30" t="inlineStr">
        <is>
          <t>Des ventes issues des actions numériques peuvent être identifiées.</t>
        </is>
      </c>
      <c r="K84" s="30" t="str"/>
      <c r="L84" s="30" t="str"/>
      <c r="M84" s="30" t="inlineStr">
        <is>
          <t>Quelles actions numériques génèrent le plus de ventes mesurables ?</t>
        </is>
      </c>
      <c r="N84" s="30" t="inlineStr">
        <is>
          <t>Capitaliser sur les actions performantes.</t>
        </is>
      </c>
    </row>
    <row r="85" ht="41.25" customHeight="1">
      <c r="A85" s="30" t="inlineStr">
        <is>
          <t>R7A</t>
        </is>
      </c>
      <c r="B85" s="30" t="inlineStr">
        <is>
          <t>Rayonnement</t>
        </is>
      </c>
      <c r="C85" s="30" t="n">
        <v>7</v>
      </c>
      <c r="D85" s="30" t="inlineStr">
        <is>
          <t>Si votre entreprise arrêtait ses activités demain, qui le remarquerait rapidement ?</t>
        </is>
      </c>
      <c r="E85" s="30" t="inlineStr">
        <is>
          <t>Les personnes directement impliquées dans mon activité le remarqueraient.</t>
        </is>
      </c>
      <c r="F85" s="30" t="inlineStr">
        <is>
          <t>Empreinte marché</t>
        </is>
      </c>
      <c r="G85" s="30" t="inlineStr">
        <is>
          <t>Difficulté</t>
        </is>
      </c>
      <c r="H85" s="45" t="n">
        <v>3</v>
      </c>
      <c r="I85" s="30" t="inlineStr">
        <is>
          <t>Élevée</t>
        </is>
      </c>
      <c r="J85" s="30" t="inlineStr">
        <is>
          <t>L’arrêt de l’activité serait surtout remarqué par les personnes directement impliquées.</t>
        </is>
      </c>
      <c r="K85" s="30" t="inlineStr">
        <is>
          <t>L’empreinte de l’entreprise reste très limitée au-delà de son fonctionnement interne.</t>
        </is>
      </c>
      <c r="L85" s="30" t="inlineStr">
        <is>
          <t>Le marché pourrait remplacer facilement l’offre actuelle.</t>
        </is>
      </c>
      <c r="M85" s="30" t="inlineStr">
        <is>
          <t>Qu’est-ce que vos clients perdraient réellement si votre entreprise disparaissait ?</t>
        </is>
      </c>
      <c r="N85" s="30" t="inlineStr">
        <is>
          <t>Faire préciser la valeur irremplaçable.</t>
        </is>
      </c>
    </row>
    <row r="86" ht="41.25" customHeight="1">
      <c r="A86" s="30" t="inlineStr">
        <is>
          <t>R7B</t>
        </is>
      </c>
      <c r="B86" s="30" t="inlineStr">
        <is>
          <t>Rayonnement</t>
        </is>
      </c>
      <c r="C86" s="30" t="n">
        <v>7</v>
      </c>
      <c r="D86" s="30" t="inlineStr">
        <is>
          <t>Si votre entreprise arrêtait ses activités demain, qui le remarquerait rapidement ?</t>
        </is>
      </c>
      <c r="E86" s="30" t="inlineStr">
        <is>
          <t>Mes clients réguliers ressentiraient rapidement mon absence.</t>
        </is>
      </c>
      <c r="F86" s="30" t="inlineStr">
        <is>
          <t>Empreinte marché</t>
        </is>
      </c>
      <c r="G86" s="30" t="inlineStr">
        <is>
          <t>Difficulté</t>
        </is>
      </c>
      <c r="H86" s="45" t="n">
        <v>2</v>
      </c>
      <c r="I86" s="30" t="inlineStr">
        <is>
          <t>Modérée</t>
        </is>
      </c>
      <c r="J86" s="30" t="inlineStr">
        <is>
          <t>L’arrêt de l’activité serait principalement ressenti par les clients réguliers.</t>
        </is>
      </c>
      <c r="K86" s="30" t="inlineStr">
        <is>
          <t>L’empreinte existe auprès de la clientèle actuelle, mais reste peu visible dans l’écosystème.</t>
        </is>
      </c>
      <c r="L86" s="30" t="inlineStr">
        <is>
          <t>Le développement dépend encore fortement de la base de clients existante.</t>
        </is>
      </c>
      <c r="M86" s="30" t="inlineStr">
        <is>
          <t>Qui, en dehors de vos clients réguliers, défendrait spontanément votre importance ?</t>
        </is>
      </c>
      <c r="N86" s="30" t="inlineStr">
        <is>
          <t>Mesurer l’empreinte élargie.</t>
        </is>
      </c>
    </row>
    <row r="87" ht="41.25" customHeight="1">
      <c r="A87" s="30" t="inlineStr">
        <is>
          <t>R7C</t>
        </is>
      </c>
      <c r="B87" s="30" t="inlineStr">
        <is>
          <t>Rayonnement</t>
        </is>
      </c>
      <c r="C87" s="30" t="n">
        <v>7</v>
      </c>
      <c r="D87" s="30" t="inlineStr">
        <is>
          <t>Si votre entreprise arrêtait ses activités demain, qui le remarquerait rapidement ?</t>
        </is>
      </c>
      <c r="E87" s="30" t="inlineStr">
        <is>
          <t>Certains partenaires ou professionnels de mon secteur le remarqueraient.</t>
        </is>
      </c>
      <c r="F87" s="30" t="inlineStr">
        <is>
          <t>Empreinte marché</t>
        </is>
      </c>
      <c r="G87" s="30" t="inlineStr">
        <is>
          <t>Point de vigilance</t>
        </is>
      </c>
      <c r="H87" s="45" t="n">
        <v>1</v>
      </c>
      <c r="I87" s="30" t="inlineStr">
        <is>
          <t>Légère</t>
        </is>
      </c>
      <c r="J87" s="30" t="inlineStr">
        <is>
          <t>Certains partenaires ou professionnels remarqueraient l’arrêt de l’activité.</t>
        </is>
      </c>
      <c r="K87" s="30" t="inlineStr">
        <is>
          <t>L’entreprise compte dans son réseau, mais son absence ne serait pas encore largement ressentie par le marché.</t>
        </is>
      </c>
      <c r="L87" s="30" t="inlineStr">
        <is>
          <t>L’autorité professionnelle peut être plus avancée que la préférence du marché.</t>
        </is>
      </c>
      <c r="M87" s="30" t="inlineStr">
        <is>
          <t>Comment cette reconnaissance professionnelle se transforme-t-elle en nouvelles opportunités ?</t>
        </is>
      </c>
      <c r="N87" s="30" t="inlineStr">
        <is>
          <t>Relier réseau et développement.</t>
        </is>
      </c>
    </row>
    <row r="88" ht="41.25" customHeight="1">
      <c r="A88" s="31" t="inlineStr">
        <is>
          <t>R7D</t>
        </is>
      </c>
      <c r="B88" s="31" t="inlineStr">
        <is>
          <t>Rayonnement</t>
        </is>
      </c>
      <c r="C88" s="31" t="n">
        <v>7</v>
      </c>
      <c r="D88" s="31" t="inlineStr">
        <is>
          <t>Si votre entreprise arrêtait ses activités demain, qui le remarquerait rapidement ?</t>
        </is>
      </c>
      <c r="E88" s="31" t="inlineStr">
        <is>
          <t>Une partie de mon marché constaterait clairement la disparition de mon offre.</t>
        </is>
      </c>
      <c r="F88" s="31" t="inlineStr">
        <is>
          <t>Empreinte marché</t>
        </is>
      </c>
      <c r="G88" s="31" t="inlineStr">
        <is>
          <t>Force</t>
        </is>
      </c>
      <c r="H88" s="46" t="n">
        <v>0</v>
      </c>
      <c r="I88" s="31" t="inlineStr">
        <is>
          <t>Aucune alerte</t>
        </is>
      </c>
      <c r="J88" s="31" t="inlineStr">
        <is>
          <t>Une partie du marché constaterait clairement la disparition de l’offre.</t>
        </is>
      </c>
      <c r="K88" s="31" t="str"/>
      <c r="L88" s="31" t="str"/>
      <c r="M88" s="31" t="inlineStr">
        <is>
          <t>Qu’est-ce qui rend aujourd’hui votre entreprise difficile à remplacer ?</t>
        </is>
      </c>
      <c r="N88" s="31" t="inlineStr">
        <is>
          <t>Identifier les actifs différenciants.</t>
        </is>
      </c>
    </row>
  </sheetData>
  <mergeCells count="2">
    <mergeCell ref="A2:N3"/>
    <mergeCell ref="A1:N1"/>
  </mergeCells>
  <conditionalFormatting sqref="H5:H88">
    <cfRule type="cellIs" priority="1" operator="equal" dxfId="0">
      <formula>3</formula>
    </cfRule>
    <cfRule type="cellIs" priority="2" operator="equal" dxfId="1">
      <formula>2</formula>
    </cfRule>
    <cfRule type="cellIs" priority="3" operator="equal" dxfId="2">
      <formula>1</formula>
    </cfRule>
    <cfRule type="cellIs" priority="4" operator="equal" dxfId="3">
      <formula>0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selection activeCell="A1" sqref="A1"/>
    </sheetView>
  </sheetViews>
  <sheetFormatPr baseColWidth="8" defaultRowHeight="15"/>
  <cols>
    <col width="6.440000057220459" customWidth="1" min="1" max="1"/>
    <col width="20.55999946594238" customWidth="1" min="2" max="2"/>
    <col width="7.78000020980835" customWidth="1" min="3" max="3"/>
    <col width="27.21999931335449" customWidth="1" min="4" max="4"/>
    <col width="33.88999938964844" customWidth="1" min="5" max="5"/>
    <col width="33.88999938964844" customWidth="1" min="6" max="6"/>
    <col width="33.88999938964844" customWidth="1" min="7" max="7"/>
  </cols>
  <sheetData>
    <row r="1" ht="31.5" customHeight="1">
      <c r="A1" s="3" t="inlineStr">
        <is>
          <t>Règles combinées — hypothèses à confirmer en entretien</t>
        </is>
      </c>
    </row>
    <row r="2">
      <c r="A2" s="7" t="inlineStr">
        <is>
          <t>Ces règles croisent plusieurs réponses pour suggérer un angle d’investigation. Elles ne constituent ni un diagnostic confirmé ni une recommandation de produit.</t>
        </is>
      </c>
    </row>
    <row r="3"/>
    <row r="4" ht="51" customHeight="1">
      <c r="A4" s="19" t="inlineStr">
        <is>
          <t>ID</t>
        </is>
      </c>
      <c r="B4" s="20" t="inlineStr">
        <is>
          <t>Thème</t>
        </is>
      </c>
      <c r="C4" s="20" t="inlineStr">
        <is>
          <t>Gravité</t>
        </is>
      </c>
      <c r="D4" s="20" t="inlineStr">
        <is>
          <t>Condition de détection</t>
        </is>
      </c>
      <c r="E4" s="20" t="inlineStr">
        <is>
          <t>Signaux croisés</t>
        </is>
      </c>
      <c r="F4" s="20" t="inlineStr">
        <is>
          <t>Hypothèse à approfondir</t>
        </is>
      </c>
      <c r="G4" s="21" t="inlineStr">
        <is>
          <t>Question de relance</t>
        </is>
      </c>
    </row>
    <row r="5" ht="51" customHeight="1">
      <c r="A5" s="29" t="inlineStr">
        <is>
          <t>RC01</t>
        </is>
      </c>
      <c r="B5" s="29" t="inlineStr">
        <is>
          <t>Parcours social fragmenté</t>
        </is>
      </c>
      <c r="C5" s="44" t="n">
        <v>2</v>
      </c>
      <c r="D5" s="29" t="inlineStr">
        <is>
          <t>Q11C + R6A, R6B ou R6C</t>
        </is>
      </c>
      <c r="E5" s="29" t="inlineStr">
        <is>
          <t>Les ventes passent par les réseaux sociaux, mais le passage des interactions ou demandes numériques à des ventes mesurées reste à clarifier.</t>
        </is>
      </c>
      <c r="F5" s="29" t="inlineStr">
        <is>
          <t>Le parcours entre découverte, conversation, commande et paiement pourrait être fragmenté.</t>
        </is>
      </c>
      <c r="G5" s="29" t="inlineStr">
        <is>
          <t>Après une demande reçue sur les réseaux sociaux, quelles étapes le client suit-il jusqu’au paiement ?</t>
        </is>
      </c>
    </row>
    <row r="6" ht="51" customHeight="1">
      <c r="A6" s="30" t="inlineStr">
        <is>
          <t>RC02</t>
        </is>
      </c>
      <c r="B6" s="30" t="inlineStr">
        <is>
          <t>Site vitrine déconnecté</t>
        </is>
      </c>
      <c r="C6" s="45" t="n">
        <v>2</v>
      </c>
      <c r="D6" s="30" t="inlineStr">
        <is>
          <t>Q11B + R6A ou R6B</t>
        </is>
      </c>
      <c r="E6" s="30" t="inlineStr">
        <is>
          <t>Le site présente l’offre, mais la commande se finalise ailleurs et le digital produit peu d’opportunités.</t>
        </is>
      </c>
      <c r="F6" s="30" t="inlineStr">
        <is>
          <t>Le passage du site vers la commande ou le paiement pourrait provoquer des abandons.</t>
        </is>
      </c>
      <c r="G6" s="30" t="inlineStr">
        <is>
          <t>Que doit faire un visiteur intéressé après avoir consulté une offre sur votre site ?</t>
        </is>
      </c>
    </row>
    <row r="7" ht="51" customHeight="1">
      <c r="A7" s="30" t="inlineStr">
        <is>
          <t>RC03</t>
        </is>
      </c>
      <c r="B7" s="30" t="inlineStr">
        <is>
          <t>Site transactionnel peu performant</t>
        </is>
      </c>
      <c r="C7" s="45" t="n">
        <v>2</v>
      </c>
      <c r="D7" s="30" t="inlineStr">
        <is>
          <t>Q11A + R6A ou R6B</t>
        </is>
      </c>
      <c r="E7" s="30" t="inlineStr">
        <is>
          <t>Le site permet de commander et payer, mais les effets numériques restent faibles ou non mesurés.</t>
        </is>
      </c>
      <c r="F7" s="30" t="inlineStr">
        <is>
          <t>La difficulté pourrait se situer dans l’acquisition, la conversion ou la mesure du parcours.</t>
        </is>
      </c>
      <c r="G7" s="30" t="inlineStr">
        <is>
          <t>À quelle étape du site perdez-vous le plus de visiteurs ou de commandes ?</t>
        </is>
      </c>
    </row>
    <row r="8" ht="51" customHeight="1">
      <c r="A8" s="30" t="inlineStr">
        <is>
          <t>RC04</t>
        </is>
      </c>
      <c r="B8" s="30" t="inlineStr">
        <is>
          <t>Encaissement à distance incomplet</t>
        </is>
      </c>
      <c r="C8" s="45" t="n">
        <v>3</v>
      </c>
      <c r="D8" s="30" t="inlineStr">
        <is>
          <t>Q10C ou Q10D + Q11A, Q11B ou Q11C</t>
        </is>
      </c>
      <c r="E8" s="30" t="inlineStr">
        <is>
          <t>L’activité possède un canal de vente digital, mais ne dispose pas d’un parcours organisé pour encaisser à distance.</t>
        </is>
      </c>
      <c r="F8" s="30" t="inlineStr">
        <is>
          <t>La finalisation du paiement pourrait interrompre certaines ventes digitales.</t>
        </is>
      </c>
      <c r="G8" s="30" t="inlineStr">
        <is>
          <t>Combien de demandes à distance restent sans suite au moment de payer ?</t>
        </is>
      </c>
    </row>
    <row r="9" ht="51" customHeight="1">
      <c r="A9" s="30" t="inlineStr">
        <is>
          <t>RC05</t>
        </is>
      </c>
      <c r="B9" s="30" t="inlineStr">
        <is>
          <t>Dispersion des paiements et trésorerie</t>
        </is>
      </c>
      <c r="C9" s="45" t="n">
        <v>3</v>
      </c>
      <c r="D9" s="30" t="inlineStr">
        <is>
          <t>Q6B, Q6C ou Q6D + Q7C ou Q7D</t>
        </is>
      </c>
      <c r="E9" s="30" t="inlineStr">
        <is>
          <t>Les paiements sont dispersés et la trésorerie est évaluée à partir des soldes ou au moment des dépenses.</t>
        </is>
      </c>
      <c r="F9" s="30" t="inlineStr">
        <is>
          <t>La fragmentation des encaissements pourrait empêcher une lecture fiable de la trésorerie.</t>
        </is>
      </c>
      <c r="G9" s="30" t="inlineStr">
        <is>
          <t>Comment obtenez-vous un montant unique et fiable avant de décider d’une dépense ?</t>
        </is>
      </c>
    </row>
    <row r="10" ht="51" customHeight="1">
      <c r="A10" s="30" t="inlineStr">
        <is>
          <t>RC06</t>
        </is>
      </c>
      <c r="B10" s="30" t="inlineStr">
        <is>
          <t>Écarts impossibles à expliquer rapidement</t>
        </is>
      </c>
      <c r="C10" s="45" t="n">
        <v>3</v>
      </c>
      <c r="D10" s="30" t="inlineStr">
        <is>
          <t>Q4C ou Q4D + Q5C ou Q5D</t>
        </is>
      </c>
      <c r="E10" s="30" t="inlineStr">
        <is>
          <t>Le suivi des ventes est reconstitué ou informel et les écarts dépendent d’explications ou restent sans preuve.</t>
        </is>
      </c>
      <c r="F10" s="30" t="inlineStr">
        <is>
          <t>L’entreprise pourrait manquer des éléments nécessaires pour distinguer erreur, oubli et vente non déclarée.</t>
        </is>
      </c>
      <c r="G10" s="30" t="inlineStr">
        <is>
          <t>Pouvez-vous retracer une vente précise depuis la commande jusqu’au paiement reçu ?</t>
        </is>
      </c>
    </row>
    <row r="11" ht="51" customHeight="1">
      <c r="A11" s="30" t="inlineStr">
        <is>
          <t>RC07</t>
        </is>
      </c>
      <c r="B11" s="30" t="inlineStr">
        <is>
          <t>Délégation insuffisamment traçable</t>
        </is>
      </c>
      <c r="C11" s="45" t="n">
        <v>3</v>
      </c>
      <c r="D11" s="30" t="inlineStr">
        <is>
          <t>Q9B ou Q9C + Q5C ou Q5D</t>
        </is>
      </c>
      <c r="E11" s="30" t="inlineStr">
        <is>
          <t>Des collaborateurs encaissent, mais le contrôle repose sur un support partagé, un point oral ou un montant global.</t>
        </is>
      </c>
      <c r="F11" s="30" t="inlineStr">
        <is>
          <t>Les responsabilités individuelles pourraient être difficiles à établir en cas d’écart.</t>
        </is>
      </c>
      <c r="G11" s="30" t="inlineStr">
        <is>
          <t>Comment attribuez-vous précisément un écart à une vente et à la personne concernée ?</t>
        </is>
      </c>
    </row>
    <row r="12" ht="51" customHeight="1">
      <c r="A12" s="30" t="inlineStr">
        <is>
          <t>RC08</t>
        </is>
      </c>
      <c r="B12" s="30" t="inlineStr">
        <is>
          <t>Comptabilité dépendante des reconstitutions</t>
        </is>
      </c>
      <c r="C12" s="45" t="n">
        <v>3</v>
      </c>
      <c r="D12" s="30" t="inlineStr">
        <is>
          <t>Q8C ou Q8D + Q4C ou Q4D</t>
        </is>
      </c>
      <c r="E12" s="30" t="inlineStr">
        <is>
          <t>Les ventes et opérations doivent être rassemblées ou reconstituées avant la comptabilité.</t>
        </is>
      </c>
      <c r="F12" s="30" t="inlineStr">
        <is>
          <t>La préparation comptable pourrait consommer beaucoup de temps et laisser des opérations mal documentées.</t>
        </is>
      </c>
      <c r="G12" s="30" t="inlineStr">
        <is>
          <t>Quelles informations vous manquent le plus souvent au moment de préparer la comptabilité ?</t>
        </is>
      </c>
    </row>
    <row r="13" ht="51" customHeight="1">
      <c r="A13" s="30" t="inlineStr">
        <is>
          <t>RC09</t>
        </is>
      </c>
      <c r="B13" s="30" t="inlineStr">
        <is>
          <t>Présence irrégulière sans conversion</t>
        </is>
      </c>
      <c r="C13" s="45" t="n">
        <v>2</v>
      </c>
      <c r="D13" s="30" t="inlineStr">
        <is>
          <t>R5A ou R5B + R6A ou R6B</t>
        </is>
      </c>
      <c r="E13" s="30" t="inlineStr">
        <is>
          <t>La présence numérique est faible ou irrégulière et produit peu de résultats commerciaux identifiables.</t>
        </is>
      </c>
      <c r="F13" s="30" t="inlineStr">
        <is>
          <t>Le problème pourrait combiner manque de régularité, absence de parcours et faible mesure.</t>
        </is>
      </c>
      <c r="G13" s="30" t="inlineStr">
        <is>
          <t>Quel résultat précis attendez-vous de votre présence numérique aujourd’hui ?</t>
        </is>
      </c>
    </row>
    <row r="14" ht="51" customHeight="1">
      <c r="A14" s="30" t="inlineStr">
        <is>
          <t>RC10</t>
        </is>
      </c>
      <c r="B14" s="30" t="inlineStr">
        <is>
          <t>Faible notoriété et faible présence</t>
        </is>
      </c>
      <c r="C14" s="45" t="n">
        <v>2</v>
      </c>
      <c r="D14" s="30" t="inlineStr">
        <is>
          <t>R1A ou R1B + R5A ou R5B</t>
        </is>
      </c>
      <c r="E14" s="30" t="inlineStr">
        <is>
          <t>La notoriété reste limitée et la présence numérique est faible ou irrégulière.</t>
        </is>
      </c>
      <c r="F14" s="30" t="inlineStr">
        <is>
          <t>La faible exposition de l’entreprise pourrait contribuer directement à son rayonnement limité.</t>
        </is>
      </c>
      <c r="G14" s="30" t="inlineStr">
        <is>
          <t>Comment de nouveaux prospects qui ne vous connaissent pas découvrent-ils actuellement l’entreprise ?</t>
        </is>
      </c>
    </row>
    <row r="15" ht="51" customHeight="1">
      <c r="A15" s="30" t="inlineStr">
        <is>
          <t>RC11</t>
        </is>
      </c>
      <c r="B15" s="30" t="inlineStr">
        <is>
          <t>Lecture du marché et différence peu claires</t>
        </is>
      </c>
      <c r="C15" s="45" t="n">
        <v>3</v>
      </c>
      <c r="D15" s="30" t="inlineStr">
        <is>
          <t>R2A ou R2B + R4A ou R4B</t>
        </is>
      </c>
      <c r="E15" s="30" t="inlineStr">
        <is>
          <t>L’entreprise comprend peu les choix en faveur des concurrents et sa différence reste difficile à percevoir sans explication.</t>
        </is>
      </c>
      <c r="F15" s="30" t="inlineStr">
        <is>
          <t>La proposition de valeur pourrait être construite sans suffisamment de retours du marché.</t>
        </is>
      </c>
      <c r="G15" s="30" t="inlineStr">
        <is>
          <t>Quelles raisons vos prospects donnent-ils lorsqu’ils choisissent une autre offre ?</t>
        </is>
      </c>
    </row>
    <row r="16" ht="51" customHeight="1">
      <c r="A16" s="30" t="inlineStr">
        <is>
          <t>RC12</t>
        </is>
      </c>
      <c r="B16" s="30" t="inlineStr">
        <is>
          <t>Différence peu convertie</t>
        </is>
      </c>
      <c r="C16" s="45" t="n">
        <v>2</v>
      </c>
      <c r="D16" s="30" t="inlineStr">
        <is>
          <t>R4C ou R4D + R6A, R6B ou R6C</t>
        </is>
      </c>
      <c r="E16" s="30" t="inlineStr">
        <is>
          <t>La différence est visible ou reconnue, mais sa transformation en ventes numériques mesurées n’est pas établie.</t>
        </is>
      </c>
      <c r="F16" s="30" t="inlineStr">
        <is>
          <t>La difficulté pourrait se situer dans la transformation de la différence en action commerciale.</t>
        </is>
      </c>
      <c r="G16" s="30" t="inlineStr">
        <is>
          <t>Quel appel à l’action permet aujourd’hui à un prospect convaincu de passer à l’étape suivante ?</t>
        </is>
      </c>
    </row>
    <row r="17" ht="51" customHeight="1">
      <c r="A17" s="30" t="inlineStr">
        <is>
          <t>RC13</t>
        </is>
      </c>
      <c r="B17" s="30" t="inlineStr">
        <is>
          <t>Besoin de visibilité de trésorerie confirmé</t>
        </is>
      </c>
      <c r="C17" s="45" t="n">
        <v>3</v>
      </c>
      <c r="D17" s="30" t="inlineStr">
        <is>
          <t>Q7C ou Q7D + Q14A</t>
        </is>
      </c>
      <c r="E17" s="30" t="inlineStr">
        <is>
          <t>Le manque de visibilité sur la trésorerie apparaît dans la pratique et dans le progrès prioritaire déclaré.</t>
        </is>
      </c>
      <c r="F17" s="30" t="inlineStr">
        <is>
          <t>Le besoin est cohérent et mérite d’être quantifié pendant l’échange.</t>
        </is>
      </c>
      <c r="G17" s="30" t="inlineStr">
        <is>
          <t>Quelles décisions sont aujourd’hui retardées par ce manque de visibilité ?</t>
        </is>
      </c>
    </row>
    <row r="18" ht="51" customHeight="1">
      <c r="A18" s="30" t="inlineStr">
        <is>
          <t>RC14</t>
        </is>
      </c>
      <c r="B18" s="30" t="inlineStr">
        <is>
          <t>Besoin de traçabilité confirmé</t>
        </is>
      </c>
      <c r="C18" s="45" t="n">
        <v>3</v>
      </c>
      <c r="D18" s="30" t="inlineStr">
        <is>
          <t>Q5C ou Q5D ou Q12C ou Q12D + Q14B</t>
        </is>
      </c>
      <c r="E18" s="30" t="inlineStr">
        <is>
          <t>La difficulté à expliquer ou retrouver les mouvements est cohérente avec le besoin prioritaire déclaré.</t>
        </is>
      </c>
      <c r="F18" s="30" t="inlineStr">
        <is>
          <t>La traçabilité constitue probablement un enjeu central du prospect.</t>
        </is>
      </c>
      <c r="G18" s="30" t="inlineStr">
        <is>
          <t>Quels mouvements de fonds vous préoccupent le plus aujourd’hui ?</t>
        </is>
      </c>
    </row>
    <row r="19" ht="51" customHeight="1">
      <c r="A19" s="30" t="inlineStr">
        <is>
          <t>RC15</t>
        </is>
      </c>
      <c r="B19" s="30" t="inlineStr">
        <is>
          <t>Besoin d’encaissement omnicanal confirmé</t>
        </is>
      </c>
      <c r="C19" s="45" t="n">
        <v>2</v>
      </c>
      <c r="D19" s="30" t="inlineStr">
        <is>
          <t>Q10C ou Q10D ou Q6B, Q6C ou Q6D + Q14C</t>
        </is>
      </c>
      <c r="E19" s="30" t="inlineStr">
        <is>
          <t>Les limites actuelles d’encaissement concordent avec la volonté d’encaisser sur tous les canaux.</t>
        </is>
      </c>
      <c r="F19" s="30" t="inlineStr">
        <is>
          <t>Le besoin d’élargir ou unifier les parcours d’encaissement paraît cohérent.</t>
        </is>
      </c>
      <c r="G19" s="30" t="inlineStr">
        <is>
          <t>Sur quel canal perdez-vous actuellement le plus de ventes au moment du paiement ?</t>
        </is>
      </c>
    </row>
    <row r="20" ht="51" customHeight="1">
      <c r="A20" s="31" t="inlineStr">
        <is>
          <t>RC16</t>
        </is>
      </c>
      <c r="B20" s="31" t="inlineStr">
        <is>
          <t>Besoin de contrôle dans la délégation confirmé</t>
        </is>
      </c>
      <c r="C20" s="46" t="n">
        <v>3</v>
      </c>
      <c r="D20" s="31" t="inlineStr">
        <is>
          <t>Q9B ou Q9C + Q14D</t>
        </is>
      </c>
      <c r="E20" s="31" t="inlineStr">
        <is>
          <t>La manière actuelle de suivre les collaborateurs concorde avec le besoin de déléguer sans perdre le contrôle.</t>
        </is>
      </c>
      <c r="F20" s="31" t="inlineStr">
        <is>
          <t>La sécurisation de la délégation semble être un enjeu concret.</t>
        </is>
      </c>
      <c r="G20" s="31" t="inlineStr">
        <is>
          <t>Quel contrôle aimeriez-vous conserver lorsque d’autres personnes encaissent ?</t>
        </is>
      </c>
    </row>
  </sheetData>
  <mergeCells count="2">
    <mergeCell ref="A1:G1"/>
    <mergeCell ref="A2:G3"/>
  </mergeCells>
  <conditionalFormatting sqref="C5:C20">
    <cfRule type="cellIs" priority="1" operator="equal" dxfId="0">
      <formula>3</formula>
    </cfRule>
    <cfRule type="cellIs" priority="2" operator="equal" dxfId="1">
      <formula>2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9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1.67000007629395" customWidth="1" min="3" max="3"/>
    <col width="11.67000007629395" customWidth="1" min="4" max="4"/>
    <col width="11.67000007629395" customWidth="1" min="5" max="5"/>
    <col width="8.670000076293945" customWidth="1" min="6" max="6"/>
    <col width="8.670000076293945" customWidth="1" min="7" max="7"/>
    <col width="8.670000076293945" customWidth="1" min="8" max="8"/>
    <col width="27.21999931335449" customWidth="1" min="9" max="9"/>
    <col width="27.21999931335449" customWidth="1" min="10" max="10"/>
    <col width="27.21999931335449" customWidth="1" min="11" max="11"/>
  </cols>
  <sheetData>
    <row r="1" ht="31.5" customHeight="1">
      <c r="A1" s="3" t="inlineStr">
        <is>
          <t>Archétypes, dimensions et règles de résultat</t>
        </is>
      </c>
    </row>
    <row r="3">
      <c r="A3" s="10" t="inlineStr">
        <is>
          <t>Empreintes des 8 archétypes</t>
        </is>
      </c>
    </row>
    <row r="4" ht="31.5" customHeight="1">
      <c r="A4" s="19" t="inlineStr">
        <is>
          <t>Archétype</t>
        </is>
      </c>
      <c r="B4" s="20" t="inlineStr">
        <is>
          <t>Inspiré par</t>
        </is>
      </c>
      <c r="C4" s="20" t="inlineStr">
        <is>
          <t>Centrale</t>
        </is>
      </c>
      <c r="D4" s="20" t="inlineStr">
        <is>
          <t>2e dimension</t>
        </is>
      </c>
      <c r="E4" s="20" t="inlineStr">
        <is>
          <t>3e dimension</t>
        </is>
      </c>
      <c r="F4" s="20" t="inlineStr">
        <is>
          <t>Poids 1</t>
        </is>
      </c>
      <c r="G4" s="20" t="inlineStr">
        <is>
          <t>Poids 2</t>
        </is>
      </c>
      <c r="H4" s="20" t="inlineStr">
        <is>
          <t>Poids 3</t>
        </is>
      </c>
      <c r="I4" s="20" t="inlineStr">
        <is>
          <t>Traits dominants</t>
        </is>
      </c>
      <c r="J4" s="20" t="inlineStr">
        <is>
          <t>Forces</t>
        </is>
      </c>
      <c r="K4" s="21" t="inlineStr">
        <is>
          <t>Risque</t>
        </is>
      </c>
    </row>
    <row r="5" ht="31.5" customHeight="1">
      <c r="A5" s="29" t="inlineStr">
        <is>
          <t>Stratège</t>
        </is>
      </c>
      <c r="B5" s="29" t="inlineStr">
        <is>
          <t>Samory Touré</t>
        </is>
      </c>
      <c r="C5" s="29" t="inlineStr">
        <is>
          <t>STR</t>
        </is>
      </c>
      <c r="D5" s="29" t="inlineStr">
        <is>
          <t>ADA</t>
        </is>
      </c>
      <c r="E5" s="29" t="inlineStr">
        <is>
          <t>ORG</t>
        </is>
      </c>
      <c r="F5" s="131" t="n">
        <v>0.5</v>
      </c>
      <c r="G5" s="131" t="n">
        <v>0.3</v>
      </c>
      <c r="H5" s="131" t="n">
        <v>0.2</v>
      </c>
      <c r="I5" s="29" t="inlineStr">
        <is>
          <t>Analytique, patient, observateur et anticipateur</t>
        </is>
      </c>
      <c r="J5" s="29" t="inlineStr">
        <is>
          <t>Anticipation, lecture stratégique, allocation des ressources</t>
        </is>
      </c>
      <c r="K5" s="29" t="inlineStr">
        <is>
          <t>Suranalyse et lenteur dans la décision</t>
        </is>
      </c>
    </row>
    <row r="6" ht="31.5" customHeight="1">
      <c r="A6" s="30" t="inlineStr">
        <is>
          <t>Visionnaire</t>
        </is>
      </c>
      <c r="B6" s="30" t="inlineStr">
        <is>
          <t>Kwame Nkrumah</t>
        </is>
      </c>
      <c r="C6" s="30" t="inlineStr">
        <is>
          <t>VIS</t>
        </is>
      </c>
      <c r="D6" s="30" t="inlineStr">
        <is>
          <t>INF</t>
        </is>
      </c>
      <c r="E6" s="30" t="inlineStr">
        <is>
          <t>TRA</t>
        </is>
      </c>
      <c r="F6" s="132" t="n">
        <v>0.5</v>
      </c>
      <c r="G6" s="132" t="n">
        <v>0.3</v>
      </c>
      <c r="H6" s="132" t="n">
        <v>0.2</v>
      </c>
      <c r="I6" s="30" t="inlineStr">
        <is>
          <t>Ambitieux, intuitif, tourné vers l’avenir et inspirant</t>
        </is>
      </c>
      <c r="J6" s="30" t="inlineStr">
        <is>
          <t>Projection, ambition et mobilisation autour d’une vision</t>
        </is>
      </c>
      <c r="K6" s="30" t="inlineStr">
        <is>
          <t>Sous-estimation des contraintes opérationnelles</t>
        </is>
      </c>
    </row>
    <row r="7" ht="31.5" customHeight="1">
      <c r="A7" s="30" t="inlineStr">
        <is>
          <t>Bâtisseur</t>
        </is>
      </c>
      <c r="B7" s="30" t="inlineStr">
        <is>
          <t>Aliko Dangote</t>
        </is>
      </c>
      <c r="C7" s="30" t="inlineStr">
        <is>
          <t>EXE</t>
        </is>
      </c>
      <c r="D7" s="30" t="inlineStr">
        <is>
          <t>ORG</t>
        </is>
      </c>
      <c r="E7" s="30" t="inlineStr">
        <is>
          <t>STR</t>
        </is>
      </c>
      <c r="F7" s="132" t="n">
        <v>0.5</v>
      </c>
      <c r="G7" s="132" t="n">
        <v>0.35</v>
      </c>
      <c r="H7" s="132" t="n">
        <v>0.15</v>
      </c>
      <c r="I7" s="30" t="inlineStr">
        <is>
          <t>Structuré, constant, méthodique et pragmatique</t>
        </is>
      </c>
      <c r="J7" s="30" t="inlineStr">
        <is>
          <t>Exécution, structuration et croissance progressive</t>
        </is>
      </c>
      <c r="K7" s="30" t="inlineStr">
        <is>
          <t>Stabilité privilégiée au détriment de l’agilité</t>
        </is>
      </c>
    </row>
    <row r="8" ht="31.5" customHeight="1">
      <c r="A8" s="30" t="inlineStr">
        <is>
          <t>Conquérant</t>
        </is>
      </c>
      <c r="B8" s="30" t="inlineStr">
        <is>
          <t>Shaka Zulu</t>
        </is>
      </c>
      <c r="C8" s="30" t="inlineStr">
        <is>
          <t>AUD</t>
        </is>
      </c>
      <c r="D8" s="30" t="inlineStr">
        <is>
          <t>EXE</t>
        </is>
      </c>
      <c r="E8" s="30" t="inlineStr">
        <is>
          <t>VIS</t>
        </is>
      </c>
      <c r="F8" s="132" t="n">
        <v>0.5</v>
      </c>
      <c r="G8" s="132" t="n">
        <v>0.35</v>
      </c>
      <c r="H8" s="132" t="n">
        <v>0.15</v>
      </c>
      <c r="I8" s="30" t="inlineStr">
        <is>
          <t>Audacieux, compétitif, rapide et déterminé</t>
        </is>
      </c>
      <c r="J8" s="30" t="inlineStr">
        <is>
          <t>Expansion, accélération et courage décisionnel</t>
        </is>
      </c>
      <c r="K8" s="30" t="inlineStr">
        <is>
          <t>Prise de risque excessive ou dispersion</t>
        </is>
      </c>
    </row>
    <row r="9" ht="31.5" customHeight="1">
      <c r="A9" s="30" t="inlineStr">
        <is>
          <t>Fédérateur</t>
        </is>
      </c>
      <c r="B9" s="30" t="inlineStr">
        <is>
          <t>Nelson Mandela</t>
        </is>
      </c>
      <c r="C9" s="30" t="inlineStr">
        <is>
          <t>INF</t>
        </is>
      </c>
      <c r="D9" s="30" t="inlineStr">
        <is>
          <t>ADA</t>
        </is>
      </c>
      <c r="E9" s="30" t="inlineStr">
        <is>
          <t>VIS</t>
        </is>
      </c>
      <c r="F9" s="132" t="n">
        <v>0.5</v>
      </c>
      <c r="G9" s="132" t="n">
        <v>0.3</v>
      </c>
      <c r="H9" s="132" t="n">
        <v>0.2</v>
      </c>
      <c r="I9" s="30" t="inlineStr">
        <is>
          <t>Relationnel, rassembleur, diplomate et empathique</t>
        </is>
      </c>
      <c r="J9" s="30" t="inlineStr">
        <is>
          <t>Mobilisation, adhésion, alliances et intelligence relationnelle</t>
        </is>
      </c>
      <c r="K9" s="30" t="inlineStr">
        <is>
          <t>Recherche excessive du consensus</t>
        </is>
      </c>
    </row>
    <row r="10" ht="31.5" customHeight="1">
      <c r="A10" s="30" t="inlineStr">
        <is>
          <t>Résilient</t>
        </is>
      </c>
      <c r="B10" s="30" t="inlineStr">
        <is>
          <t>Béhanzin</t>
        </is>
      </c>
      <c r="C10" s="30" t="inlineStr">
        <is>
          <t>ADA</t>
        </is>
      </c>
      <c r="D10" s="30" t="inlineStr">
        <is>
          <t>EXE</t>
        </is>
      </c>
      <c r="E10" s="30" t="inlineStr">
        <is>
          <t>AUD</t>
        </is>
      </c>
      <c r="F10" s="132" t="n">
        <v>0.5</v>
      </c>
      <c r="G10" s="132" t="n">
        <v>0.3</v>
      </c>
      <c r="H10" s="132" t="n">
        <v>0.2</v>
      </c>
      <c r="I10" s="30" t="inlineStr">
        <is>
          <t>Endurant, persévérant, adaptable et combatif</t>
        </is>
      </c>
      <c r="J10" s="30" t="inlineStr">
        <is>
          <t>Rebond, endurance, adaptation et persévérance</t>
        </is>
      </c>
      <c r="K10" s="30" t="inlineStr">
        <is>
          <t>Persistance dans une situation devenue défavorable</t>
        </is>
      </c>
    </row>
    <row r="11" ht="31.5" customHeight="1">
      <c r="A11" s="30" t="inlineStr">
        <is>
          <t>Gestionnaire</t>
        </is>
      </c>
      <c r="B11" s="30" t="inlineStr">
        <is>
          <t>Tidjane Thiam</t>
        </is>
      </c>
      <c r="C11" s="30" t="inlineStr">
        <is>
          <t>ORG</t>
        </is>
      </c>
      <c r="D11" s="30" t="inlineStr">
        <is>
          <t>STR</t>
        </is>
      </c>
      <c r="E11" s="30" t="inlineStr">
        <is>
          <t>EXE</t>
        </is>
      </c>
      <c r="F11" s="132" t="n">
        <v>0.45</v>
      </c>
      <c r="G11" s="132" t="n">
        <v>0.3</v>
      </c>
      <c r="H11" s="132" t="n">
        <v>0.25</v>
      </c>
      <c r="I11" s="30" t="inlineStr">
        <is>
          <t>Discipliné, organisé, rationnel et précis</t>
        </is>
      </c>
      <c r="J11" s="30" t="inlineStr">
        <is>
          <t>Organisation, maîtrise des ressources et pilotage</t>
        </is>
      </c>
      <c r="K11" s="30" t="inlineStr">
        <is>
          <t>Optimisation privilégiée au détriment de l’audace</t>
        </is>
      </c>
    </row>
    <row r="12" ht="31.5" customHeight="1">
      <c r="A12" s="31" t="inlineStr">
        <is>
          <t>Réformateur</t>
        </is>
      </c>
      <c r="B12" s="31" t="inlineStr">
        <is>
          <t>Thomas Sankara</t>
        </is>
      </c>
      <c r="C12" s="31" t="inlineStr">
        <is>
          <t>TRA</t>
        </is>
      </c>
      <c r="D12" s="31" t="inlineStr">
        <is>
          <t>AUD</t>
        </is>
      </c>
      <c r="E12" s="31" t="inlineStr">
        <is>
          <t>VIS</t>
        </is>
      </c>
      <c r="F12" s="133" t="n">
        <v>0.5</v>
      </c>
      <c r="G12" s="133" t="n">
        <v>0.3</v>
      </c>
      <c r="H12" s="133" t="n">
        <v>0.2</v>
      </c>
      <c r="I12" s="31" t="inlineStr">
        <is>
          <t>Critique, indépendant, innovant et orienté transformation</t>
        </is>
      </c>
      <c r="J12" s="31" t="inlineStr">
        <is>
          <t>Remise en question, transformation et évolution des systèmes</t>
        </is>
      </c>
      <c r="K12" s="31" t="inlineStr">
        <is>
          <t>Multiplication des changements ou adoption insuffisamment accompagnée</t>
        </is>
      </c>
    </row>
    <row r="13" ht="31.5" customHeight="1"/>
    <row r="14" ht="31.5" customHeight="1">
      <c r="A14" s="10" t="inlineStr">
        <is>
          <t>Définition des dimensions</t>
        </is>
      </c>
    </row>
    <row r="15" ht="31.5" customHeight="1">
      <c r="A15" s="19" t="inlineStr">
        <is>
          <t>Code</t>
        </is>
      </c>
      <c r="B15" s="20" t="inlineStr">
        <is>
          <t>Dimension</t>
        </is>
      </c>
      <c r="C15" s="21" t="inlineStr">
        <is>
          <t>Définition fonctionnelle</t>
        </is>
      </c>
      <c r="D15" s="137" t="n"/>
      <c r="E15" s="137" t="n"/>
      <c r="F15" s="137" t="n"/>
      <c r="G15" s="137" t="n"/>
      <c r="H15" s="137" t="n"/>
      <c r="I15" s="137" t="n"/>
      <c r="J15" s="137" t="n"/>
      <c r="K15" s="138" t="n"/>
    </row>
    <row r="16" ht="31.5" customHeight="1">
      <c r="A16" s="29" t="inlineStr">
        <is>
          <t>VIS</t>
        </is>
      </c>
      <c r="B16" s="29" t="inlineStr">
        <is>
          <t>Vision</t>
        </is>
      </c>
      <c r="C16" s="29" t="inlineStr">
        <is>
          <t>Capacité à projeter une direction future et à relier les décisions à une ambition.</t>
        </is>
      </c>
      <c r="D16" s="121" t="n"/>
      <c r="E16" s="121" t="n"/>
      <c r="F16" s="121" t="n"/>
      <c r="G16" s="121" t="n"/>
      <c r="H16" s="121" t="n"/>
      <c r="I16" s="121" t="n"/>
      <c r="J16" s="121" t="n"/>
      <c r="K16" s="121" t="n"/>
    </row>
    <row r="17" ht="31.5" customHeight="1">
      <c r="A17" s="30" t="inlineStr">
        <is>
          <t>STR</t>
        </is>
      </c>
      <c r="B17" s="30" t="inlineStr">
        <is>
          <t>Stratégie</t>
        </is>
      </c>
      <c r="C17" s="30" t="inlineStr">
        <is>
          <t>Capacité à lire le terrain, comparer des options, choisir et anticiper.</t>
        </is>
      </c>
      <c r="D17" s="122" t="n"/>
      <c r="E17" s="122" t="n"/>
      <c r="F17" s="122" t="n"/>
      <c r="G17" s="122" t="n"/>
      <c r="H17" s="122" t="n"/>
      <c r="I17" s="122" t="n"/>
      <c r="J17" s="122" t="n"/>
      <c r="K17" s="122" t="n"/>
    </row>
    <row r="18" ht="31.5" customHeight="1">
      <c r="A18" s="30" t="inlineStr">
        <is>
          <t>EXE</t>
        </is>
      </c>
      <c r="B18" s="30" t="inlineStr">
        <is>
          <t>Exécution</t>
        </is>
      </c>
      <c r="C18" s="30" t="inlineStr">
        <is>
          <t>Capacité à transformer une intention en actions et résultats.</t>
        </is>
      </c>
      <c r="D18" s="122" t="n"/>
      <c r="E18" s="122" t="n"/>
      <c r="F18" s="122" t="n"/>
      <c r="G18" s="122" t="n"/>
      <c r="H18" s="122" t="n"/>
      <c r="I18" s="122" t="n"/>
      <c r="J18" s="122" t="n"/>
      <c r="K18" s="122" t="n"/>
    </row>
    <row r="19" ht="31.5" customHeight="1">
      <c r="A19" s="30" t="inlineStr">
        <is>
          <t>ORG</t>
        </is>
      </c>
      <c r="B19" s="30" t="inlineStr">
        <is>
          <t>Organisation</t>
        </is>
      </c>
      <c r="C19" s="30" t="inlineStr">
        <is>
          <t>Capacité à structurer ressources, rôles, processus et contrôles.</t>
        </is>
      </c>
      <c r="D19" s="122" t="n"/>
      <c r="E19" s="122" t="n"/>
      <c r="F19" s="122" t="n"/>
      <c r="G19" s="122" t="n"/>
      <c r="H19" s="122" t="n"/>
      <c r="I19" s="122" t="n"/>
      <c r="J19" s="122" t="n"/>
      <c r="K19" s="122" t="n"/>
    </row>
    <row r="20" ht="31.5" customHeight="1">
      <c r="A20" s="30" t="inlineStr">
        <is>
          <t>INF</t>
        </is>
      </c>
      <c r="B20" s="30" t="inlineStr">
        <is>
          <t>Influence</t>
        </is>
      </c>
      <c r="C20" s="30" t="inlineStr">
        <is>
          <t>Capacité à mobiliser, convaincre, fédérer et construire des alliances.</t>
        </is>
      </c>
      <c r="D20" s="122" t="n"/>
      <c r="E20" s="122" t="n"/>
      <c r="F20" s="122" t="n"/>
      <c r="G20" s="122" t="n"/>
      <c r="H20" s="122" t="n"/>
      <c r="I20" s="122" t="n"/>
      <c r="J20" s="122" t="n"/>
      <c r="K20" s="122" t="n"/>
    </row>
    <row r="21" ht="31.5" customHeight="1">
      <c r="A21" s="30" t="inlineStr">
        <is>
          <t>AUD</t>
        </is>
      </c>
      <c r="B21" s="30" t="inlineStr">
        <is>
          <t>Audace</t>
        </is>
      </c>
      <c r="C21" s="30" t="inlineStr">
        <is>
          <t>Capacité à décider dans l’incertitude et à créer du mouvement.</t>
        </is>
      </c>
      <c r="D21" s="122" t="n"/>
      <c r="E21" s="122" t="n"/>
      <c r="F21" s="122" t="n"/>
      <c r="G21" s="122" t="n"/>
      <c r="H21" s="122" t="n"/>
      <c r="I21" s="122" t="n"/>
      <c r="J21" s="122" t="n"/>
      <c r="K21" s="122" t="n"/>
    </row>
    <row r="22" ht="31.5" customHeight="1">
      <c r="A22" s="30" t="inlineStr">
        <is>
          <t>ADA</t>
        </is>
      </c>
      <c r="B22" s="30" t="inlineStr">
        <is>
          <t>Adaptabilité</t>
        </is>
      </c>
      <c r="C22" s="30" t="inlineStr">
        <is>
          <t>Capacité à ajuster la trajectoire et apprendre du contexte.</t>
        </is>
      </c>
      <c r="D22" s="122" t="n"/>
      <c r="E22" s="122" t="n"/>
      <c r="F22" s="122" t="n"/>
      <c r="G22" s="122" t="n"/>
      <c r="H22" s="122" t="n"/>
      <c r="I22" s="122" t="n"/>
      <c r="J22" s="122" t="n"/>
      <c r="K22" s="122" t="n"/>
    </row>
    <row r="23" ht="31.5" customHeight="1">
      <c r="A23" s="31" t="inlineStr">
        <is>
          <t>TRA</t>
        </is>
      </c>
      <c r="B23" s="31" t="inlineStr">
        <is>
          <t>Transformation</t>
        </is>
      </c>
      <c r="C23" s="31" t="inlineStr">
        <is>
          <t>Capacité à remettre en question un système et conduire son évolution.</t>
        </is>
      </c>
      <c r="D23" s="123" t="n"/>
      <c r="E23" s="123" t="n"/>
      <c r="F23" s="123" t="n"/>
      <c r="G23" s="123" t="n"/>
      <c r="H23" s="123" t="n"/>
      <c r="I23" s="123" t="n"/>
      <c r="J23" s="123" t="n"/>
      <c r="K23" s="123" t="n"/>
    </row>
    <row r="24" ht="31.5" customHeight="1"/>
    <row r="25" ht="31.5" customHeight="1">
      <c r="A25" s="10" t="inlineStr">
        <is>
          <t>Règles du profil public</t>
        </is>
      </c>
    </row>
    <row r="26" ht="31.5" customHeight="1">
      <c r="A26" s="29" t="inlineStr">
        <is>
          <t>Calcul brut</t>
        </is>
      </c>
      <c r="B26" s="29" t="inlineStr">
        <is>
          <t>Chaque réponse attribue +2 à la dimension principale et +1 à la secondaire.</t>
        </is>
      </c>
      <c r="C26" s="121" t="n"/>
      <c r="D26" s="121" t="n"/>
      <c r="E26" s="121" t="n"/>
      <c r="F26" s="121" t="n"/>
      <c r="G26" s="121" t="n"/>
      <c r="H26" s="121" t="n"/>
      <c r="I26" s="121" t="n"/>
      <c r="J26" s="121" t="n"/>
      <c r="K26" s="121" t="n"/>
    </row>
    <row r="27" ht="31.5" customHeight="1">
      <c r="A27" s="30" t="inlineStr">
        <is>
          <t>Normalisation</t>
        </is>
      </c>
      <c r="B27" s="30" t="inlineStr">
        <is>
          <t>Score dimension = score brut / maximum réellement atteignable × 100.</t>
        </is>
      </c>
      <c r="C27" s="122" t="n"/>
      <c r="D27" s="122" t="n"/>
      <c r="E27" s="122" t="n"/>
      <c r="F27" s="122" t="n"/>
      <c r="G27" s="122" t="n"/>
      <c r="H27" s="122" t="n"/>
      <c r="I27" s="122" t="n"/>
      <c r="J27" s="122" t="n"/>
      <c r="K27" s="122" t="n"/>
    </row>
    <row r="28" ht="31.5" customHeight="1">
      <c r="A28" s="30" t="inlineStr">
        <is>
          <t>Affinité</t>
        </is>
      </c>
      <c r="B28" s="30" t="inlineStr">
        <is>
          <t>Somme pondérée des trois dimensions de l’empreinte de l’archétype.</t>
        </is>
      </c>
      <c r="C28" s="122" t="n"/>
      <c r="D28" s="122" t="n"/>
      <c r="E28" s="122" t="n"/>
      <c r="F28" s="122" t="n"/>
      <c r="G28" s="122" t="n"/>
      <c r="H28" s="122" t="n"/>
      <c r="I28" s="122" t="n"/>
      <c r="J28" s="122" t="n"/>
      <c r="K28" s="122" t="n"/>
    </row>
    <row r="29" ht="31.5" customHeight="1">
      <c r="A29" s="30" t="inlineStr">
        <is>
          <t>Profil principal</t>
        </is>
      </c>
      <c r="B29" s="30" t="inlineStr">
        <is>
          <t>Archétype ayant l’affinité la plus élevée, calculée à deux décimales.</t>
        </is>
      </c>
      <c r="C29" s="122" t="n"/>
      <c r="D29" s="122" t="n"/>
      <c r="E29" s="122" t="n"/>
      <c r="F29" s="122" t="n"/>
      <c r="G29" s="122" t="n"/>
      <c r="H29" s="122" t="n"/>
      <c r="I29" s="122" t="n"/>
      <c r="J29" s="122" t="n"/>
      <c r="K29" s="122" t="n"/>
    </row>
    <row r="30" ht="31.5" customHeight="1">
      <c r="A30" s="30" t="inlineStr">
        <is>
          <t>Profil secondaire</t>
        </is>
      </c>
      <c r="B30" s="30" t="inlineStr">
        <is>
          <t>Affinité ≥55, ≥90 % de la principale et écart ≤8 points.</t>
        </is>
      </c>
      <c r="C30" s="122" t="n"/>
      <c r="D30" s="122" t="n"/>
      <c r="E30" s="122" t="n"/>
      <c r="F30" s="122" t="n"/>
      <c r="G30" s="122" t="n"/>
      <c r="H30" s="122" t="n"/>
      <c r="I30" s="122" t="n"/>
      <c r="J30" s="122" t="n"/>
      <c r="K30" s="122" t="n"/>
    </row>
    <row r="31" ht="31.5" customHeight="1">
      <c r="A31" s="30" t="inlineStr">
        <is>
          <t>Égalité</t>
        </is>
      </c>
      <c r="B31" s="30" t="inlineStr">
        <is>
          <t>Dimension centrale, puis nombre de +2, puis somme brute de l’empreinte, puis ordre technique.</t>
        </is>
      </c>
      <c r="C31" s="122" t="n"/>
      <c r="D31" s="122" t="n"/>
      <c r="E31" s="122" t="n"/>
      <c r="F31" s="122" t="n"/>
      <c r="G31" s="122" t="n"/>
      <c r="H31" s="122" t="n"/>
      <c r="I31" s="122" t="n"/>
      <c r="J31" s="122" t="n"/>
      <c r="K31" s="122" t="n"/>
    </row>
    <row r="32" ht="31.5" customHeight="1">
      <c r="A32" s="31" t="inlineStr">
        <is>
          <t>Ordre technique</t>
        </is>
      </c>
      <c r="B32" s="31" t="inlineStr">
        <is>
          <t>Stratège, Visionnaire, Bâtisseur, Conquérant, Fédérateur, Résilient, Gestionnaire, Réformateur.</t>
        </is>
      </c>
      <c r="C32" s="123" t="n"/>
      <c r="D32" s="123" t="n"/>
      <c r="E32" s="123" t="n"/>
      <c r="F32" s="123" t="n"/>
      <c r="G32" s="123" t="n"/>
      <c r="H32" s="123" t="n"/>
      <c r="I32" s="123" t="n"/>
      <c r="J32" s="123" t="n"/>
      <c r="K32" s="123" t="n"/>
    </row>
    <row r="33" ht="31.5" customHeight="1"/>
    <row r="34" ht="31.5" customHeight="1">
      <c r="A34" s="10" t="inlineStr">
        <is>
          <t>Niveaux du score interne de pilotage</t>
        </is>
      </c>
    </row>
    <row r="35" ht="31.5" customHeight="1">
      <c r="A35" s="19" t="inlineStr">
        <is>
          <t>Score</t>
        </is>
      </c>
      <c r="B35" s="20" t="inlineStr">
        <is>
          <t>Niveau interne</t>
        </is>
      </c>
      <c r="C35" s="20" t="inlineStr">
        <is>
          <t>Lecture</t>
        </is>
      </c>
      <c r="D35" s="137" t="n"/>
      <c r="E35" s="137" t="n"/>
      <c r="F35" s="137" t="n"/>
      <c r="G35" s="137" t="n"/>
      <c r="H35" s="137" t="n"/>
      <c r="I35" s="137" t="n"/>
      <c r="J35" s="137" t="n"/>
      <c r="K35" s="21" t="inlineStr">
        <is>
          <t>Visibilité</t>
        </is>
      </c>
    </row>
    <row r="36" ht="31.5" customHeight="1">
      <c r="A36" s="29" t="inlineStr">
        <is>
          <t>75–100</t>
        </is>
      </c>
      <c r="B36" s="29" t="inlineStr">
        <is>
          <t>Pilotage structuré</t>
        </is>
      </c>
      <c r="C36" s="29" t="inlineStr">
        <is>
          <t>Les opérations sont suivies avec des données et des points de contrôle.</t>
        </is>
      </c>
      <c r="D36" s="121" t="n"/>
      <c r="E36" s="121" t="n"/>
      <c r="F36" s="121" t="n"/>
      <c r="G36" s="121" t="n"/>
      <c r="H36" s="121" t="n"/>
      <c r="I36" s="121" t="n"/>
      <c r="J36" s="121" t="n"/>
      <c r="K36" s="29" t="inlineStr">
        <is>
          <t>Interne</t>
        </is>
      </c>
    </row>
    <row r="37" ht="31.5" customHeight="1">
      <c r="A37" s="30" t="inlineStr">
        <is>
          <t>50–74</t>
        </is>
      </c>
      <c r="B37" s="30" t="inlineStr">
        <is>
          <t>Pilotage partiellement structuré</t>
        </is>
      </c>
      <c r="C37" s="30" t="inlineStr">
        <is>
          <t>Des outils existent, mais la régularité ou la centralisation restent incomplètes.</t>
        </is>
      </c>
      <c r="D37" s="122" t="n"/>
      <c r="E37" s="122" t="n"/>
      <c r="F37" s="122" t="n"/>
      <c r="G37" s="122" t="n"/>
      <c r="H37" s="122" t="n"/>
      <c r="I37" s="122" t="n"/>
      <c r="J37" s="122" t="n"/>
      <c r="K37" s="30" t="inlineStr">
        <is>
          <t>Interne</t>
        </is>
      </c>
    </row>
    <row r="38" ht="31.5" customHeight="1">
      <c r="A38" s="30" t="inlineStr">
        <is>
          <t>25–49</t>
        </is>
      </c>
      <c r="B38" s="30" t="inlineStr">
        <is>
          <t>Pilotage réactif</t>
        </is>
      </c>
      <c r="C38" s="30" t="inlineStr">
        <is>
          <t>Le suivi se déclenche surtout lorsqu’une échéance ou un problème apparaît.</t>
        </is>
      </c>
      <c r="D38" s="122" t="n"/>
      <c r="E38" s="122" t="n"/>
      <c r="F38" s="122" t="n"/>
      <c r="G38" s="122" t="n"/>
      <c r="H38" s="122" t="n"/>
      <c r="I38" s="122" t="n"/>
      <c r="J38" s="122" t="n"/>
      <c r="K38" s="30" t="inlineStr">
        <is>
          <t>Interne</t>
        </is>
      </c>
    </row>
    <row r="39" ht="31.5" customHeight="1">
      <c r="A39" s="31" t="inlineStr">
        <is>
          <t>0–24</t>
        </is>
      </c>
      <c r="B39" s="31" t="inlineStr">
        <is>
          <t>Pilotage informel</t>
        </is>
      </c>
      <c r="C39" s="31" t="inlineStr">
        <is>
          <t>La visibilité repose principalement sur des estimations, notifications ou reconstitutions.</t>
        </is>
      </c>
      <c r="D39" s="123" t="n"/>
      <c r="E39" s="123" t="n"/>
      <c r="F39" s="123" t="n"/>
      <c r="G39" s="123" t="n"/>
      <c r="H39" s="123" t="n"/>
      <c r="I39" s="123" t="n"/>
      <c r="J39" s="123" t="n"/>
      <c r="K39" s="31" t="inlineStr">
        <is>
          <t>Interne</t>
        </is>
      </c>
    </row>
  </sheetData>
  <mergeCells count="26">
    <mergeCell ref="C16:K16"/>
    <mergeCell ref="A34:K34"/>
    <mergeCell ref="B30:K30"/>
    <mergeCell ref="C22:K22"/>
    <mergeCell ref="A1:K1"/>
    <mergeCell ref="C35:J35"/>
    <mergeCell ref="C21:K21"/>
    <mergeCell ref="B32:K32"/>
    <mergeCell ref="B26:K26"/>
    <mergeCell ref="A25:K25"/>
    <mergeCell ref="C17:K17"/>
    <mergeCell ref="C23:K23"/>
    <mergeCell ref="B31:K31"/>
    <mergeCell ref="A3:K3"/>
    <mergeCell ref="C19:K19"/>
    <mergeCell ref="B27:K27"/>
    <mergeCell ref="C18:K18"/>
    <mergeCell ref="C36:J36"/>
    <mergeCell ref="A14:K14"/>
    <mergeCell ref="C39:J39"/>
    <mergeCell ref="C15:K15"/>
    <mergeCell ref="C38:J38"/>
    <mergeCell ref="C20:K20"/>
    <mergeCell ref="B29:K29"/>
    <mergeCell ref="C37:J37"/>
    <mergeCell ref="B28:K28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6"/>
  <sheetViews>
    <sheetView showGridLines="0" workbookViewId="0">
      <selection activeCell="A1" sqref="A1"/>
    </sheetView>
  </sheetViews>
  <sheetFormatPr baseColWidth="8" defaultRowHeight="15"/>
  <cols>
    <col width="17.78000068664551" customWidth="1" min="1" max="1"/>
    <col width="14.4399995803833" customWidth="1" min="2" max="2"/>
    <col width="18.88999938964844" customWidth="1" min="3" max="3"/>
    <col width="31.67000007629395" customWidth="1" min="4" max="4"/>
    <col width="25.55999946594238" customWidth="1" min="5" max="5"/>
    <col width="25.55999946594238" customWidth="1" min="6" max="6"/>
    <col width="25.55999946594238" customWidth="1" min="7" max="7"/>
    <col width="7.78000020980835" customWidth="1" min="8" max="8"/>
  </cols>
  <sheetData>
    <row r="1" ht="31.5" customHeight="1">
      <c r="A1" s="3" t="inlineStr">
        <is>
          <t>Lecture causale — Pilotage interne × Rayonnement</t>
        </is>
      </c>
    </row>
    <row r="2">
      <c r="A2" s="7" t="inlineStr">
        <is>
          <t>Le score de pilotage décrit les fondations déclarées. Le Rayonnement mesure leurs manifestations visibles. La comparaison ne juge pas la sincérité du participant : elle identifie une cohérence ou un décalage à investiguer.</t>
        </is>
      </c>
    </row>
    <row r="3"/>
    <row r="5">
      <c r="A5" s="10" t="inlineStr">
        <is>
          <t>Matrice principale — seuil de solidité : 60/100</t>
        </is>
      </c>
    </row>
    <row r="6" ht="36" customHeight="1">
      <c r="A6" s="19" t="inlineStr">
        <is>
          <t>Pilotage</t>
        </is>
      </c>
      <c r="B6" s="20" t="inlineStr">
        <is>
          <t>Rayonnement</t>
        </is>
      </c>
      <c r="C6" s="20" t="inlineStr">
        <is>
          <t>Lecture</t>
        </is>
      </c>
      <c r="D6" s="20" t="inlineStr">
        <is>
          <t>Interprétation causale</t>
        </is>
      </c>
      <c r="E6" s="20" t="inlineStr">
        <is>
          <t>Priorité FeexPay</t>
        </is>
      </c>
      <c r="F6" s="20" t="inlineStr">
        <is>
          <t>Priorité marketing</t>
        </is>
      </c>
      <c r="G6" s="20" t="inlineStr">
        <is>
          <t>Formulation rapport</t>
        </is>
      </c>
      <c r="H6" s="21" t="inlineStr">
        <is>
          <t>Code</t>
        </is>
      </c>
    </row>
    <row r="7" ht="36" customHeight="1">
      <c r="A7" s="29" t="inlineStr">
        <is>
          <t>≥ 60</t>
        </is>
      </c>
      <c r="B7" s="29" t="inlineStr">
        <is>
          <t>≥ 60</t>
        </is>
      </c>
      <c r="C7" s="29" t="inlineStr">
        <is>
          <t>Cohérence consolidée</t>
        </is>
      </c>
      <c r="D7" s="29" t="inlineStr">
        <is>
          <t>Les fondations internes se matérialisent dans le rayonnement.</t>
        </is>
      </c>
      <c r="E7" s="29" t="inlineStr">
        <is>
          <t>Optimiser et industrialiser</t>
        </is>
      </c>
      <c r="F7" s="29" t="inlineStr">
        <is>
          <t>Consolider le leadership</t>
        </is>
      </c>
      <c r="G7" s="29" t="inlineStr">
        <is>
          <t>Votre organisation soutient déjà la place que votre entreprise occupe.</t>
        </is>
      </c>
      <c r="H7" s="29" t="inlineStr">
        <is>
          <t>CC</t>
        </is>
      </c>
    </row>
    <row r="8" ht="36" customHeight="1">
      <c r="A8" s="30" t="inlineStr">
        <is>
          <t>≥ 60</t>
        </is>
      </c>
      <c r="B8" s="30" t="inlineStr">
        <is>
          <t>&lt; 60</t>
        </is>
      </c>
      <c r="C8" s="30" t="inlineStr">
        <is>
          <t>Potentiel sous-exploité</t>
        </is>
      </c>
      <c r="D8" s="30" t="inlineStr">
        <is>
          <t>Le business est mieux structuré qu’il n’est perçu par son marché.</t>
        </is>
      </c>
      <c r="E8" s="30" t="inlineStr">
        <is>
          <t>Connecter les données aux parcours de croissance</t>
        </is>
      </c>
      <c r="F8" s="30" t="inlineStr">
        <is>
          <t>Accroître visibilité, preuve et acquisition</t>
        </is>
      </c>
      <c r="G8" s="30" t="inlineStr">
        <is>
          <t>Vos fondations sont plus solides que votre rayonnement actuel.</t>
        </is>
      </c>
      <c r="H8" s="30" t="inlineStr">
        <is>
          <t>PS</t>
        </is>
      </c>
    </row>
    <row r="9" ht="36" customHeight="1">
      <c r="A9" s="30" t="inlineStr">
        <is>
          <t>&lt; 60</t>
        </is>
      </c>
      <c r="B9" s="30" t="inlineStr">
        <is>
          <t>≥ 60</t>
        </is>
      </c>
      <c r="C9" s="30" t="inlineStr">
        <is>
          <t>Rayonnement sous tension</t>
        </is>
      </c>
      <c r="D9" s="30" t="inlineStr">
        <is>
          <t>La visibilité dépasse la capacité interne à tracer, suivre et absorber l’activité.</t>
        </is>
      </c>
      <c r="E9" s="30" t="inlineStr">
        <is>
          <t>Sécuriser encaissements, trésorerie et contrôle</t>
        </is>
      </c>
      <c r="F9" s="30" t="inlineStr">
        <is>
          <t>Éviter d’accélérer sans structurer</t>
        </is>
      </c>
      <c r="G9" s="30" t="inlineStr">
        <is>
          <t>Votre rayonnement avance plus vite que vos systèmes de pilotage.</t>
        </is>
      </c>
      <c r="H9" s="30" t="inlineStr">
        <is>
          <t>RT</t>
        </is>
      </c>
    </row>
    <row r="10" ht="36" customHeight="1">
      <c r="A10" s="31" t="inlineStr">
        <is>
          <t>&lt; 60</t>
        </is>
      </c>
      <c r="B10" s="31" t="inlineStr">
        <is>
          <t>&lt; 60</t>
        </is>
      </c>
      <c r="C10" s="31" t="inlineStr">
        <is>
          <t>Fondations à renforcer</t>
        </is>
      </c>
      <c r="D10" s="31" t="inlineStr">
        <is>
          <t>Les fragilités internes se reflètent dans un rayonnement encore limité.</t>
        </is>
      </c>
      <c r="E10" s="31" t="inlineStr">
        <is>
          <t>Structurer les fondamentaux prioritaires</t>
        </is>
      </c>
      <c r="F10" s="31" t="inlineStr">
        <is>
          <t>Clarifier l’offre et installer une présence régulière</t>
        </is>
      </c>
      <c r="G10" s="31" t="inlineStr">
        <is>
          <t>Le renforcement du pilotage peut devenir le premier levier de rayonnement.</t>
        </is>
      </c>
      <c r="H10" s="31" t="inlineStr">
        <is>
          <t>FR</t>
        </is>
      </c>
    </row>
    <row r="11" ht="36" customHeight="1"/>
    <row r="12" ht="36" customHeight="1">
      <c r="A12" s="10" t="inlineStr">
        <is>
          <t>Lecture complémentaire de l’écart</t>
        </is>
      </c>
    </row>
    <row r="13" ht="36" customHeight="1">
      <c r="A13" s="53" t="inlineStr">
        <is>
          <t>Écart = Rayonnement − Pilotage</t>
        </is>
      </c>
      <c r="B13" s="53" t="inlineStr">
        <is>
          <t>Qualificatif</t>
        </is>
      </c>
      <c r="C13" s="53" t="inlineStr">
        <is>
          <t>Lecture</t>
        </is>
      </c>
      <c r="D13" s="53" t="inlineStr">
        <is>
          <t>Action</t>
        </is>
      </c>
    </row>
    <row r="14" ht="36" customHeight="1">
      <c r="A14" s="29" t="inlineStr">
        <is>
          <t>De −15 à +15</t>
        </is>
      </c>
      <c r="B14" s="29" t="inlineStr">
        <is>
          <t>Cohérence relative</t>
        </is>
      </c>
      <c r="C14" s="29" t="inlineStr">
        <is>
          <t>Les deux scores racontent une situation globalement cohérente.</t>
        </is>
      </c>
      <c r="D14" s="29" t="inlineStr">
        <is>
          <t>Travailler le levier le plus faible sans remettre en cause l’ensemble.</t>
        </is>
      </c>
    </row>
    <row r="15" ht="36" customHeight="1">
      <c r="A15" s="30" t="inlineStr">
        <is>
          <t>≤ −16</t>
        </is>
      </c>
      <c r="B15" s="30" t="inlineStr">
        <is>
          <t>Fondations sous-exploitées</t>
        </is>
      </c>
      <c r="C15" s="30" t="inlineStr">
        <is>
          <t>Le pilotage est plus avancé que la perception du marché.</t>
        </is>
      </c>
      <c r="D15" s="30" t="inlineStr">
        <is>
          <t>Transformer l’organisation interne en preuves, visibilité et acquisition.</t>
        </is>
      </c>
    </row>
    <row r="16" ht="36" customHeight="1">
      <c r="A16" s="31" t="inlineStr">
        <is>
          <t>≥ +16</t>
        </is>
      </c>
      <c r="B16" s="31" t="inlineStr">
        <is>
          <t>Rayonnement exposé</t>
        </is>
      </c>
      <c r="C16" s="31" t="inlineStr">
        <is>
          <t>Le marché perçoit davantage que ce que les systèmes internes semblent pouvoir soutenir.</t>
        </is>
      </c>
      <c r="D16" s="31" t="inlineStr">
        <is>
          <t>Sécuriser la traçabilité, la trésorerie et la délégation avant l’accélération.</t>
        </is>
      </c>
    </row>
    <row r="17" ht="36" customHeight="1"/>
    <row r="18" ht="36" customHeight="1">
      <c r="A18" s="10" t="inlineStr">
        <is>
          <t>Règles du score de Rayonnement</t>
        </is>
      </c>
    </row>
    <row r="19" ht="36" customHeight="1">
      <c r="A19" s="19" t="inlineStr">
        <is>
          <t>Dimension</t>
        </is>
      </c>
      <c r="B19" s="20" t="inlineStr">
        <is>
          <t>Calcul</t>
        </is>
      </c>
      <c r="C19" s="20" t="inlineStr">
        <is>
          <t>Poids global</t>
        </is>
      </c>
      <c r="D19" s="21" t="inlineStr">
        <is>
          <t>Source</t>
        </is>
      </c>
    </row>
    <row r="20" ht="36" customHeight="1">
      <c r="A20" s="29" t="inlineStr">
        <is>
          <t>Notoriété</t>
        </is>
      </c>
      <c r="B20" s="29" t="inlineStr">
        <is>
          <t>R1 / 3 × 100</t>
        </is>
      </c>
      <c r="C20" s="131" t="n">
        <v>0.2</v>
      </c>
      <c r="D20" s="29" t="inlineStr">
        <is>
          <t>Question 1</t>
        </is>
      </c>
    </row>
    <row r="21" ht="36" customHeight="1">
      <c r="A21" s="30" t="inlineStr">
        <is>
          <t>Lecture concurrentielle</t>
        </is>
      </c>
      <c r="B21" s="30" t="inlineStr">
        <is>
          <t>R2 / 3 × 100</t>
        </is>
      </c>
      <c r="C21" s="132" t="n">
        <v>0.15</v>
      </c>
      <c r="D21" s="30" t="inlineStr">
        <is>
          <t>Question 2</t>
        </is>
      </c>
    </row>
    <row r="22" ht="36" customHeight="1">
      <c r="A22" s="30" t="inlineStr">
        <is>
          <t>Différenciation</t>
        </is>
      </c>
      <c r="B22" s="30" t="inlineStr">
        <is>
          <t>R4 / 3 × 100</t>
        </is>
      </c>
      <c r="C22" s="132" t="n">
        <v>0.25</v>
      </c>
      <c r="D22" s="30" t="inlineStr">
        <is>
          <t>Question 4 ; la question 3 fournit uniquement le tag</t>
        </is>
      </c>
    </row>
    <row r="23" ht="36" customHeight="1">
      <c r="A23" s="30" t="inlineStr">
        <is>
          <t>Digital</t>
        </is>
      </c>
      <c r="B23" s="30" t="inlineStr">
        <is>
          <t>(R5 / 3 × 100 × 60 %) + (R6 / 3 × 100 × 40 %)</t>
        </is>
      </c>
      <c r="C23" s="132" t="n">
        <v>0.2</v>
      </c>
      <c r="D23" s="30" t="inlineStr">
        <is>
          <t>Questions 5 et 6</t>
        </is>
      </c>
    </row>
    <row r="24" ht="36" customHeight="1">
      <c r="A24" s="31" t="inlineStr">
        <is>
          <t>Empreinte</t>
        </is>
      </c>
      <c r="B24" s="31" t="inlineStr">
        <is>
          <t>R7 / 3 × 100</t>
        </is>
      </c>
      <c r="C24" s="133" t="n">
        <v>0.2</v>
      </c>
      <c r="D24" s="31" t="inlineStr">
        <is>
          <t>Question 7</t>
        </is>
      </c>
    </row>
    <row r="25" ht="36" customHeight="1"/>
    <row r="26" ht="36" customHeight="1">
      <c r="A26" s="10" t="inlineStr">
        <is>
          <t>Niveaux et météo</t>
        </is>
      </c>
    </row>
    <row r="27" ht="36" customHeight="1">
      <c r="A27" s="19" t="inlineStr">
        <is>
          <t>Score</t>
        </is>
      </c>
      <c r="B27" s="20" t="inlineStr">
        <is>
          <t>Niveau</t>
        </is>
      </c>
      <c r="C27" s="20" t="inlineStr">
        <is>
          <t>Météo</t>
        </is>
      </c>
      <c r="D27" s="21" t="inlineStr">
        <is>
          <t>Lecture synthétique</t>
        </is>
      </c>
    </row>
    <row r="28" ht="36" customHeight="1">
      <c r="A28" s="29" t="inlineStr">
        <is>
          <t>80–100</t>
        </is>
      </c>
      <c r="B28" s="29" t="inlineStr">
        <is>
          <t>Dominant</t>
        </is>
      </c>
      <c r="C28" s="29" t="inlineStr">
        <is>
          <t>Soleil</t>
        </is>
      </c>
      <c r="D28" s="29" t="inlineStr">
        <is>
          <t>La marque rayonne et doit défendre puis renouveler son leadership.</t>
        </is>
      </c>
    </row>
    <row r="29" ht="36" customHeight="1">
      <c r="A29" s="30" t="inlineStr">
        <is>
          <t>60–79</t>
        </is>
      </c>
      <c r="B29" s="30" t="inlineStr">
        <is>
          <t>Challenger fort</t>
        </is>
      </c>
      <c r="C29" s="30" t="inlineStr">
        <is>
          <t>Éclaircies</t>
        </is>
      </c>
      <c r="D29" s="30" t="inlineStr">
        <is>
          <t>La marque devient difficile à ignorer, mais doit consolider certains leviers.</t>
        </is>
      </c>
    </row>
    <row r="30" ht="36" customHeight="1">
      <c r="A30" s="30" t="inlineStr">
        <is>
          <t>40–59</t>
        </is>
      </c>
      <c r="B30" s="30" t="inlineStr">
        <is>
          <t>Acteur silencieux</t>
        </is>
      </c>
      <c r="C30" s="30" t="inlineStr">
        <is>
          <t>Nuageux</t>
        </is>
      </c>
      <c r="D30" s="30" t="inlineStr">
        <is>
          <t>La valeur existe, mais le marché ne la perçoit pas encore à sa juste mesure.</t>
        </is>
      </c>
    </row>
    <row r="31" ht="36" customHeight="1">
      <c r="A31" s="30" t="inlineStr">
        <is>
          <t>20–39</t>
        </is>
      </c>
      <c r="B31" s="30" t="inlineStr">
        <is>
          <t>Marque fragile</t>
        </is>
      </c>
      <c r="C31" s="30" t="inlineStr">
        <is>
          <t>Pluie</t>
        </is>
      </c>
      <c r="D31" s="30" t="inlineStr">
        <is>
          <t>La présence et la différence restent insuffisamment installées.</t>
        </is>
      </c>
    </row>
    <row r="32" ht="36" customHeight="1">
      <c r="A32" s="31" t="inlineStr">
        <is>
          <t>0–19</t>
        </is>
      </c>
      <c r="B32" s="31" t="inlineStr">
        <is>
          <t>Zone de disparition</t>
        </is>
      </c>
      <c r="C32" s="31" t="inlineStr">
        <is>
          <t>Tempête</t>
        </is>
      </c>
      <c r="D32" s="31" t="inlineStr">
        <is>
          <t>L’empreinte est très faible et plusieurs fondamentaux doivent être retravaillés.</t>
        </is>
      </c>
    </row>
    <row r="33" ht="36" customHeight="1"/>
    <row r="34" ht="36" customHeight="1">
      <c r="A34" s="29" t="inlineStr">
        <is>
          <t>Nuance météo</t>
        </is>
      </c>
      <c r="B34" s="29" t="inlineStr">
        <is>
          <t>« avec potentiel d’éclaircie » si le score est à 5 points ou moins du niveau supérieur, si au moins deux dimensions atteignent déjà ce seuil et si aucune dimension n’est sous 20.</t>
        </is>
      </c>
      <c r="C34" s="121" t="n"/>
      <c r="D34" s="121" t="n"/>
      <c r="E34" s="121" t="n"/>
      <c r="F34" s="121" t="n"/>
      <c r="G34" s="121" t="n"/>
      <c r="H34" s="121" t="n"/>
    </row>
    <row r="35" ht="36" customHeight="1">
      <c r="A35" s="30" t="inlineStr">
        <is>
          <t>Bornes</t>
        </is>
      </c>
      <c r="B35" s="30" t="inlineStr">
        <is>
          <t>Les bornes sont inclusives ; 60 appartient à Challenger fort et 59 à Acteur silencieux.</t>
        </is>
      </c>
      <c r="C35" s="122" t="n"/>
      <c r="D35" s="122" t="n"/>
      <c r="E35" s="122" t="n"/>
      <c r="F35" s="122" t="n"/>
      <c r="G35" s="122" t="n"/>
      <c r="H35" s="122" t="n"/>
    </row>
    <row r="36" ht="36" customHeight="1">
      <c r="A36" s="31" t="inlineStr">
        <is>
          <t>Arrondi</t>
        </is>
      </c>
      <c r="B36" s="31" t="inlineStr">
        <is>
          <t>Le moteur stocke le score non arrondi ; l’interface affiche l’entier arrondi.</t>
        </is>
      </c>
      <c r="C36" s="123" t="n"/>
      <c r="D36" s="123" t="n"/>
      <c r="E36" s="123" t="n"/>
      <c r="F36" s="123" t="n"/>
      <c r="G36" s="123" t="n"/>
      <c r="H36" s="123" t="n"/>
    </row>
  </sheetData>
  <mergeCells count="9">
    <mergeCell ref="A12:H12"/>
    <mergeCell ref="B36:H36"/>
    <mergeCell ref="A18:H18"/>
    <mergeCell ref="A26:H26"/>
    <mergeCell ref="A5:H5"/>
    <mergeCell ref="B35:H35"/>
    <mergeCell ref="A2:H3"/>
    <mergeCell ref="A1:H1"/>
    <mergeCell ref="B34:H3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selection activeCell="A1" sqref="A1"/>
    </sheetView>
  </sheetViews>
  <sheetFormatPr baseColWidth="8" defaultRowHeight="15"/>
  <cols>
    <col width="18.88999938964844" customWidth="1" min="1" max="1"/>
    <col width="18.88999938964844" customWidth="1" min="2" max="2"/>
    <col width="15.5600004196167" customWidth="1" min="3" max="3"/>
    <col width="15.5600004196167" customWidth="1" min="4" max="4"/>
    <col width="15.5600004196167" customWidth="1" min="5" max="5"/>
    <col width="15.5600004196167" customWidth="1" min="6" max="6"/>
    <col width="20" customWidth="1" min="7" max="7"/>
    <col width="20" customWidth="1" min="8" max="8"/>
  </cols>
  <sheetData>
    <row r="1" ht="31.5" customHeight="1">
      <c r="A1" s="3" t="inlineStr">
        <is>
          <t>Contrôles d’équilibrage et cas de recette</t>
        </is>
      </c>
    </row>
    <row r="3">
      <c r="A3" s="10" t="inlineStr">
        <is>
          <t>Équilibrage de la matrice dirigeant</t>
        </is>
      </c>
    </row>
    <row r="4" ht="31.5" customHeight="1">
      <c r="A4" s="19" t="inlineStr">
        <is>
          <t>Dimension</t>
        </is>
      </c>
      <c r="B4" s="20" t="inlineStr">
        <is>
          <t>Code</t>
        </is>
      </c>
      <c r="C4" s="20" t="inlineStr">
        <is>
          <t>Occurrences +2</t>
        </is>
      </c>
      <c r="D4" s="20" t="inlineStr">
        <is>
          <t>Occurrences +1</t>
        </is>
      </c>
      <c r="E4" s="20" t="inlineStr">
        <is>
          <t>Maximum atteignable</t>
        </is>
      </c>
      <c r="F4" s="21" t="inlineStr">
        <is>
          <t>Contrôle</t>
        </is>
      </c>
    </row>
    <row r="5" ht="31.5" customHeight="1">
      <c r="A5" s="29" t="inlineStr">
        <is>
          <t>Vision</t>
        </is>
      </c>
      <c r="B5" s="29" t="inlineStr">
        <is>
          <t>VIS</t>
        </is>
      </c>
      <c r="C5" s="29">
        <f>COUNTIF('Dirigeant - Matrice'!$E$5:$E$60,B5)</f>
        <v/>
      </c>
      <c r="D5" s="29">
        <f>COUNTIF('Dirigeant - Matrice'!$G$5:$G$60,B5)</f>
        <v/>
      </c>
      <c r="E5" s="29" t="n">
        <v>12</v>
      </c>
      <c r="F5" s="29">
        <f>IF(AND(C5=7,D5=7),"OK","À vérifier")</f>
        <v/>
      </c>
    </row>
    <row r="6" ht="31.5" customHeight="1">
      <c r="A6" s="30" t="inlineStr">
        <is>
          <t>Stratégie</t>
        </is>
      </c>
      <c r="B6" s="30" t="inlineStr">
        <is>
          <t>STR</t>
        </is>
      </c>
      <c r="C6" s="30">
        <f>COUNTIF('Dirigeant - Matrice'!$E$5:$E$60,B6)</f>
        <v/>
      </c>
      <c r="D6" s="30">
        <f>COUNTIF('Dirigeant - Matrice'!$G$5:$G$60,B6)</f>
        <v/>
      </c>
      <c r="E6" s="30" t="n">
        <v>15</v>
      </c>
      <c r="F6" s="30">
        <f>IF(AND(C6=7,D6=7),"OK","À vérifier")</f>
        <v/>
      </c>
    </row>
    <row r="7" ht="31.5" customHeight="1">
      <c r="A7" s="30" t="inlineStr">
        <is>
          <t>Exécution</t>
        </is>
      </c>
      <c r="B7" s="30" t="inlineStr">
        <is>
          <t>EXE</t>
        </is>
      </c>
      <c r="C7" s="30">
        <f>COUNTIF('Dirigeant - Matrice'!$E$5:$E$60,B7)</f>
        <v/>
      </c>
      <c r="D7" s="30">
        <f>COUNTIF('Dirigeant - Matrice'!$G$5:$G$60,B7)</f>
        <v/>
      </c>
      <c r="E7" s="30" t="n">
        <v>17</v>
      </c>
      <c r="F7" s="30">
        <f>IF(AND(C7=7,D7=7),"OK","À vérifier")</f>
        <v/>
      </c>
    </row>
    <row r="8" ht="31.5" customHeight="1">
      <c r="A8" s="30" t="inlineStr">
        <is>
          <t>Organisation</t>
        </is>
      </c>
      <c r="B8" s="30" t="inlineStr">
        <is>
          <t>ORG</t>
        </is>
      </c>
      <c r="C8" s="30">
        <f>COUNTIF('Dirigeant - Matrice'!$E$5:$E$60,B8)</f>
        <v/>
      </c>
      <c r="D8" s="30">
        <f>COUNTIF('Dirigeant - Matrice'!$G$5:$G$60,B8)</f>
        <v/>
      </c>
      <c r="E8" s="30" t="n">
        <v>18</v>
      </c>
      <c r="F8" s="30">
        <f>IF(AND(C8=7,D8=7),"OK","À vérifier")</f>
        <v/>
      </c>
    </row>
    <row r="9" ht="31.5" customHeight="1">
      <c r="A9" s="30" t="inlineStr">
        <is>
          <t>Influence</t>
        </is>
      </c>
      <c r="B9" s="30" t="inlineStr">
        <is>
          <t>INF</t>
        </is>
      </c>
      <c r="C9" s="30">
        <f>COUNTIF('Dirigeant - Matrice'!$E$5:$E$60,B9)</f>
        <v/>
      </c>
      <c r="D9" s="30">
        <f>COUNTIF('Dirigeant - Matrice'!$G$5:$G$60,B9)</f>
        <v/>
      </c>
      <c r="E9" s="30" t="n">
        <v>17</v>
      </c>
      <c r="F9" s="30">
        <f>IF(AND(C9=7,D9=7),"OK","À vérifier")</f>
        <v/>
      </c>
    </row>
    <row r="10" ht="31.5" customHeight="1">
      <c r="A10" s="30" t="inlineStr">
        <is>
          <t>Audace</t>
        </is>
      </c>
      <c r="B10" s="30" t="inlineStr">
        <is>
          <t>AUD</t>
        </is>
      </c>
      <c r="C10" s="30">
        <f>COUNTIF('Dirigeant - Matrice'!$E$5:$E$60,B10)</f>
        <v/>
      </c>
      <c r="D10" s="30">
        <f>COUNTIF('Dirigeant - Matrice'!$G$5:$G$60,B10)</f>
        <v/>
      </c>
      <c r="E10" s="30" t="n">
        <v>15</v>
      </c>
      <c r="F10" s="30">
        <f>IF(AND(C10=7,D10=7),"OK","À vérifier")</f>
        <v/>
      </c>
    </row>
    <row r="11" ht="31.5" customHeight="1">
      <c r="A11" s="30" t="inlineStr">
        <is>
          <t>Adaptabilité</t>
        </is>
      </c>
      <c r="B11" s="30" t="inlineStr">
        <is>
          <t>ADA</t>
        </is>
      </c>
      <c r="C11" s="30">
        <f>COUNTIF('Dirigeant - Matrice'!$E$5:$E$60,B11)</f>
        <v/>
      </c>
      <c r="D11" s="30">
        <f>COUNTIF('Dirigeant - Matrice'!$G$5:$G$60,B11)</f>
        <v/>
      </c>
      <c r="E11" s="30" t="n">
        <v>16</v>
      </c>
      <c r="F11" s="30">
        <f>IF(AND(C11=7,D11=7),"OK","À vérifier")</f>
        <v/>
      </c>
    </row>
    <row r="12" ht="31.5" customHeight="1">
      <c r="A12" s="31" t="inlineStr">
        <is>
          <t>Transformation</t>
        </is>
      </c>
      <c r="B12" s="31" t="inlineStr">
        <is>
          <t>TRA</t>
        </is>
      </c>
      <c r="C12" s="31">
        <f>COUNTIF('Dirigeant - Matrice'!$E$5:$E$60,B12)</f>
        <v/>
      </c>
      <c r="D12" s="31">
        <f>COUNTIF('Dirigeant - Matrice'!$G$5:$G$60,B12)</f>
        <v/>
      </c>
      <c r="E12" s="31" t="n">
        <v>17</v>
      </c>
      <c r="F12" s="31">
        <f>IF(AND(C12=7,D12=7),"OK","À vérifier")</f>
        <v/>
      </c>
    </row>
    <row r="13" ht="31.5" customHeight="1"/>
    <row r="14" ht="31.5" customHeight="1">
      <c r="A14" s="10" t="inlineStr">
        <is>
          <t>Accessibilité des 8 archétypes — exemples trouvés par test de simulation</t>
        </is>
      </c>
    </row>
    <row r="15" ht="31.5" customHeight="1">
      <c r="A15" s="19" t="inlineStr">
        <is>
          <t>Archétype</t>
        </is>
      </c>
      <c r="B15" s="20" t="inlineStr">
        <is>
          <t>Séquence Q1→Q14</t>
        </is>
      </c>
      <c r="C15" s="20" t="inlineStr">
        <is>
          <t>Affinité</t>
        </is>
      </c>
      <c r="D15" s="20" t="inlineStr">
        <is>
          <t>Marge sur le 2e</t>
        </is>
      </c>
      <c r="E15" s="21" t="inlineStr">
        <is>
          <t>Utilisation</t>
        </is>
      </c>
    </row>
    <row r="16" ht="31.5" customHeight="1">
      <c r="A16" s="29" t="inlineStr">
        <is>
          <t>Stratège</t>
        </is>
      </c>
      <c r="B16" s="29" t="inlineStr">
        <is>
          <t>BCBADBADDBCADA</t>
        </is>
      </c>
      <c r="C16" s="128" t="n">
        <v>61.67</v>
      </c>
      <c r="D16" s="128" t="n">
        <v>26.7</v>
      </c>
      <c r="E16" s="29" t="inlineStr">
        <is>
          <t>Cas par défaut du simulateur</t>
        </is>
      </c>
    </row>
    <row r="17" ht="31.5" customHeight="1">
      <c r="A17" s="30" t="inlineStr">
        <is>
          <t>Visionnaire</t>
        </is>
      </c>
      <c r="B17" s="30" t="inlineStr">
        <is>
          <t>ADCBCCAAADADAD</t>
        </is>
      </c>
      <c r="C17" s="129" t="n">
        <v>63.48</v>
      </c>
      <c r="D17" s="129" t="n">
        <v>23.5</v>
      </c>
      <c r="E17" s="30" t="inlineStr">
        <is>
          <t>Contrôle d’accessibilité</t>
        </is>
      </c>
    </row>
    <row r="18" ht="31.5" customHeight="1">
      <c r="A18" s="30" t="inlineStr">
        <is>
          <t>Bâtisseur</t>
        </is>
      </c>
      <c r="B18" s="30" t="inlineStr">
        <is>
          <t>CADBCCBCBADCBB</t>
        </is>
      </c>
      <c r="C18" s="129" t="n">
        <v>58.78</v>
      </c>
      <c r="D18" s="129" t="n">
        <v>15.73</v>
      </c>
      <c r="E18" s="30" t="inlineStr">
        <is>
          <t>Contrôle d’accessibilité</t>
        </is>
      </c>
    </row>
    <row r="19" ht="31.5" customHeight="1">
      <c r="A19" s="30" t="inlineStr">
        <is>
          <t>Conquérant</t>
        </is>
      </c>
      <c r="B19" s="30" t="inlineStr">
        <is>
          <t>DDADCCDBDCDABC</t>
        </is>
      </c>
      <c r="C19" s="129" t="n">
        <v>70.15000000000001</v>
      </c>
      <c r="D19" s="129" t="n">
        <v>25.36</v>
      </c>
      <c r="E19" s="30" t="inlineStr">
        <is>
          <t>Contrôle d’accessibilité</t>
        </is>
      </c>
    </row>
    <row r="20" ht="31.5" customHeight="1">
      <c r="A20" s="30" t="inlineStr">
        <is>
          <t>Fédérateur</t>
        </is>
      </c>
      <c r="B20" s="30" t="inlineStr">
        <is>
          <t>CCCCCDADBBCBCA</t>
        </is>
      </c>
      <c r="C20" s="129" t="n">
        <v>71.41</v>
      </c>
      <c r="D20" s="129" t="n">
        <v>27.1</v>
      </c>
      <c r="E20" s="30" t="inlineStr">
        <is>
          <t>Contrôle d’accessibilité</t>
        </is>
      </c>
    </row>
    <row r="21" ht="31.5" customHeight="1">
      <c r="A21" s="30" t="inlineStr">
        <is>
          <t>Résilient</t>
        </is>
      </c>
      <c r="B21" s="30" t="inlineStr">
        <is>
          <t>BADCDDCCCBCCBD</t>
        </is>
      </c>
      <c r="C21" s="129" t="n">
        <v>65.44</v>
      </c>
      <c r="D21" s="129" t="n">
        <v>21.15</v>
      </c>
      <c r="E21" s="30" t="inlineStr">
        <is>
          <t>Contrôle d’accessibilité</t>
        </is>
      </c>
    </row>
    <row r="22" ht="31.5" customHeight="1">
      <c r="A22" s="30" t="inlineStr">
        <is>
          <t>Gestionnaire</t>
        </is>
      </c>
      <c r="B22" s="30" t="inlineStr">
        <is>
          <t>DABBABBBADADDC</t>
        </is>
      </c>
      <c r="C22" s="129" t="n">
        <v>61.38</v>
      </c>
      <c r="D22" s="129" t="n">
        <v>11.45</v>
      </c>
      <c r="E22" s="30" t="inlineStr">
        <is>
          <t>Contrôle d’accessibilité</t>
        </is>
      </c>
    </row>
    <row r="23" ht="31.5" customHeight="1">
      <c r="A23" s="31" t="inlineStr">
        <is>
          <t>Réformateur</t>
        </is>
      </c>
      <c r="B23" s="31" t="inlineStr">
        <is>
          <t>DBDADACADABADA</t>
        </is>
      </c>
      <c r="C23" s="130" t="n">
        <v>67.51000000000001</v>
      </c>
      <c r="D23" s="130" t="n">
        <v>26.68</v>
      </c>
      <c r="E23" s="31" t="inlineStr">
        <is>
          <t>Contrôle d’accessibilité</t>
        </is>
      </c>
    </row>
    <row r="24" ht="31.5" customHeight="1"/>
    <row r="25" ht="31.5" customHeight="1">
      <c r="A25" s="10" t="inlineStr">
        <is>
          <t>Cas limites de la double lecture</t>
        </is>
      </c>
    </row>
    <row r="26" ht="31.5" customHeight="1">
      <c r="A26" s="19" t="inlineStr">
        <is>
          <t>Cas</t>
        </is>
      </c>
      <c r="B26" s="20" t="inlineStr">
        <is>
          <t>Choix Dirigeant</t>
        </is>
      </c>
      <c r="C26" s="20" t="inlineStr">
        <is>
          <t>Choix Rayonnement</t>
        </is>
      </c>
      <c r="D26" s="20" t="inlineStr">
        <is>
          <t>Pilotage attendu</t>
        </is>
      </c>
      <c r="E26" s="20" t="inlineStr">
        <is>
          <t>Rayonnement attendu</t>
        </is>
      </c>
      <c r="F26" s="21" t="inlineStr">
        <is>
          <t>Lecture croisée attendue</t>
        </is>
      </c>
    </row>
    <row r="27" ht="31.5" customHeight="1">
      <c r="A27" s="29" t="inlineStr">
        <is>
          <t>Toutes les premières options</t>
        </is>
      </c>
      <c r="B27" s="29" t="inlineStr">
        <is>
          <t>AAAAAAAAAAAAAA</t>
        </is>
      </c>
      <c r="C27" s="29" t="inlineStr">
        <is>
          <t>AAAAAAA</t>
        </is>
      </c>
      <c r="D27" s="128" t="n">
        <v>100</v>
      </c>
      <c r="E27" s="128" t="n">
        <v>0</v>
      </c>
      <c r="F27" s="29" t="inlineStr">
        <is>
          <t>Potentiel sous-exploité</t>
        </is>
      </c>
    </row>
    <row r="28" ht="31.5" customHeight="1">
      <c r="A28" s="30" t="inlineStr">
        <is>
          <t>Toutes les deuxièmes options</t>
        </is>
      </c>
      <c r="B28" s="30" t="inlineStr">
        <is>
          <t>BBBBBBBBBBBBBB</t>
        </is>
      </c>
      <c r="C28" s="30" t="inlineStr">
        <is>
          <t>BBBBBBB</t>
        </is>
      </c>
      <c r="D28" s="129" t="n">
        <v>66.67</v>
      </c>
      <c r="E28" s="129" t="n">
        <v>33.33</v>
      </c>
      <c r="F28" s="30" t="inlineStr">
        <is>
          <t>Potentiel sous-exploité</t>
        </is>
      </c>
    </row>
    <row r="29" ht="31.5" customHeight="1">
      <c r="A29" s="30" t="inlineStr">
        <is>
          <t>Toutes les troisièmes options</t>
        </is>
      </c>
      <c r="B29" s="30" t="inlineStr">
        <is>
          <t>CCCCCCCCCCCCCC</t>
        </is>
      </c>
      <c r="C29" s="30" t="inlineStr">
        <is>
          <t>CCCCCCC</t>
        </is>
      </c>
      <c r="D29" s="129" t="n">
        <v>33.33</v>
      </c>
      <c r="E29" s="129" t="n">
        <v>66.67</v>
      </c>
      <c r="F29" s="30" t="inlineStr">
        <is>
          <t>Rayonnement sous tension</t>
        </is>
      </c>
    </row>
    <row r="30" ht="31.5" customHeight="1">
      <c r="A30" s="31" t="inlineStr">
        <is>
          <t>Toutes les dernières options</t>
        </is>
      </c>
      <c r="B30" s="31" t="inlineStr">
        <is>
          <t>DDDDDDDDDDDDDD</t>
        </is>
      </c>
      <c r="C30" s="31" t="inlineStr">
        <is>
          <t>DDDDDDD</t>
        </is>
      </c>
      <c r="D30" s="130" t="n">
        <v>0</v>
      </c>
      <c r="E30" s="130" t="n">
        <v>100</v>
      </c>
      <c r="F30" s="31" t="inlineStr">
        <is>
          <t>Rayonnement sous tension</t>
        </is>
      </c>
    </row>
    <row r="31" ht="31.5" customHeight="1"/>
    <row r="32" ht="31.5" customHeight="1">
      <c r="A32" s="29" t="inlineStr">
        <is>
          <t>Note méthodologique</t>
        </is>
      </c>
      <c r="B32" s="29" t="inlineStr">
        <is>
          <t>Le test aléatoire de 500 000 combinaisons a fait apparaître les 8 archétypes comme profils principaux. Il s’agit d’un contrôle d’accessibilité, pas d’une estimation de leur fréquence réelle.</t>
        </is>
      </c>
      <c r="C32" s="121" t="n"/>
      <c r="D32" s="121" t="n"/>
      <c r="E32" s="121" t="n"/>
      <c r="F32" s="121" t="n"/>
      <c r="G32" s="121" t="n"/>
      <c r="H32" s="121" t="n"/>
    </row>
    <row r="33" ht="31.5" customHeight="1">
      <c r="A33" s="30" t="inlineStr">
        <is>
          <t>Avertissement</t>
        </is>
      </c>
      <c r="B33" s="30" t="inlineStr">
        <is>
          <t>Le diagnostic est un outil de qualification et de restitution ludique. Il ne doit pas être présenté comme un test psychométrique.</t>
        </is>
      </c>
      <c r="C33" s="122" t="n"/>
      <c r="D33" s="122" t="n"/>
      <c r="E33" s="122" t="n"/>
      <c r="F33" s="122" t="n"/>
      <c r="G33" s="122" t="n"/>
      <c r="H33" s="122" t="n"/>
    </row>
    <row r="34" ht="31.5" customHeight="1">
      <c r="A34" s="31" t="inlineStr">
        <is>
          <t>Versionnement</t>
        </is>
      </c>
      <c r="B34" s="31" t="inlineStr">
        <is>
          <t>Toute modification d’une option, d’un poids ou d’un seuil doit créer une nouvelle version du moteur.</t>
        </is>
      </c>
      <c r="C34" s="123" t="n"/>
      <c r="D34" s="123" t="n"/>
      <c r="E34" s="123" t="n"/>
      <c r="F34" s="123" t="n"/>
      <c r="G34" s="123" t="n"/>
      <c r="H34" s="123" t="n"/>
    </row>
  </sheetData>
  <mergeCells count="7">
    <mergeCell ref="A3:H3"/>
    <mergeCell ref="B32:H32"/>
    <mergeCell ref="A25:H25"/>
    <mergeCell ref="A14:H14"/>
    <mergeCell ref="B33:H33"/>
    <mergeCell ref="A1:H1"/>
    <mergeCell ref="B34:H34"/>
  </mergeCells>
  <conditionalFormatting sqref="F5:F12">
    <cfRule type="containsText" priority="1" operator="containsText" dxfId="3" text="OK"/>
    <cfRule type="containsText" priority="2" operator="containsText" dxfId="0" text="À vérifier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Cossi CODJIA — FeexPay</dc:creator>
  <dc:title xmlns:dc="http://purl.org/dc/elements/1.1/">Matrice de scoring normative — Radar by FeexPay V2.1</dc:title>
  <dc:subject xmlns:dc="http://purl.org/dc/elements/1.1/">Règles de scoring, constats et contrôles de recette</dc:subject>
  <dcterms:created xmlns:dcterms="http://purl.org/dc/terms/" xmlns:xsi="http://www.w3.org/2001/XMLSchema-instance" xsi:type="dcterms:W3CDTF">2026-08-19T11:29:02Z</dcterms:created>
  <dcterms:modified xmlns:dcterms="http://purl.org/dc/terms/" xmlns:xsi="http://www.w3.org/2001/XMLSchema-instance" xsi:type="dcterms:W3CDTF">2026-08-19T11:29:02Z</dcterms:modified>
  <cp:lastModifiedBy>Cossi CODJIA — FeexPay</cp:lastModifiedBy>
</cp:coreProperties>
</file>