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8cc134139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e d'ensemble" sheetId="1" r:id="R483f9e20d2304c16"/>
    <x:sheet xmlns:r="http://schemas.openxmlformats.org/officeDocument/2006/relationships" name="Simulateur" sheetId="2" r:id="R8ff931dc71d34aef"/>
    <x:sheet xmlns:r="http://schemas.openxmlformats.org/officeDocument/2006/relationships" name="Fiche prospect" sheetId="3" r:id="Rf38c19cb20c0489f"/>
    <x:sheet xmlns:r="http://schemas.openxmlformats.org/officeDocument/2006/relationships" name="Dirigeant - Matrice" sheetId="4" r:id="Rdd05eae160b945c1"/>
    <x:sheet xmlns:r="http://schemas.openxmlformats.org/officeDocument/2006/relationships" name="Rayonnement - Matrice" sheetId="5" r:id="R33c28c4546f94b08"/>
    <x:sheet xmlns:r="http://schemas.openxmlformats.org/officeDocument/2006/relationships" name="Bibliothèque constats" sheetId="6" r:id="R726d0da784b341d2"/>
    <x:sheet xmlns:r="http://schemas.openxmlformats.org/officeDocument/2006/relationships" name="Règles combinées" sheetId="7" r:id="Rf6c18cf419d54dcd"/>
    <x:sheet xmlns:r="http://schemas.openxmlformats.org/officeDocument/2006/relationships" name="Archétypes &amp; règles" sheetId="8" r:id="R729386ada1c54b9f"/>
    <x:sheet xmlns:r="http://schemas.openxmlformats.org/officeDocument/2006/relationships" name="Lecture croisée" sheetId="9" r:id="Rbc509776131d42b1"/>
    <x:sheet xmlns:r="http://schemas.openxmlformats.org/officeDocument/2006/relationships" name="Contrôles" sheetId="10" r:id="Rb0fde08f6465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12">
    <x:font>
      <x:sz val="11"/>
      <x:name val="Carlito"/>
    </x:font>
    <x:font>
      <x:b/>
      <x:sz val="18"/>
      <x:color rgb="FFFFFFFF"/>
      <x:name val="Carlito"/>
    </x:font>
    <x:font>
      <x:sz val="11"/>
      <x:color rgb="FF086046"/>
      <x:name val="Carlito"/>
    </x:font>
    <x:font>
      <x:b/>
      <x:sz val="12"/>
      <x:color rgb="FF13231F"/>
      <x:name val="Carlito"/>
    </x:font>
    <x:font>
      <x:b/>
      <x:sz val="11"/>
      <x:color rgb="FFFFFFFF"/>
      <x:name val="Carlito"/>
    </x:font>
    <x:font>
      <x:sz val="10"/>
      <x:color rgb="FF13231F"/>
      <x:name val="Carlito"/>
    </x:font>
    <x:font>
      <x:b/>
      <x:sz val="11"/>
      <x:color rgb="FF086046"/>
      <x:name val="Carlito"/>
    </x:font>
    <x:font>
      <x:b/>
      <x:sz val="10"/>
      <x:color rgb="FF13231F"/>
      <x:name val="Carlito"/>
    </x:font>
    <x:font>
      <x:b/>
      <x:sz val="9"/>
      <x:color rgb="FFFFFFFF"/>
      <x:name val="Carlito"/>
    </x:font>
    <x:font>
      <x:b/>
      <x:sz val="11"/>
      <x:color rgb="FF13231F"/>
      <x:name val="Carlito"/>
    </x:font>
    <x:font>
      <x:i/>
      <x:sz val="11"/>
      <x:color rgb="FFD97706"/>
      <x:name val="Carlito"/>
    </x:font>
    <x:font>
      <x:sz val="9"/>
      <x:color rgb="FF373E4B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3231F"/>
      </x:patternFill>
    </x:fill>
    <x:fill>
      <x:patternFill patternType="solid">
        <x:fgColor rgb="FFE8F6F1"/>
      </x:patternFill>
    </x:fill>
    <x:fill>
      <x:patternFill patternType="solid">
        <x:fgColor rgb="FFCDEDE2"/>
      </x:patternFill>
    </x:fill>
    <x:fill>
      <x:patternFill patternType="solid">
        <x:fgColor rgb="FF086046"/>
      </x:patternFill>
    </x:fill>
    <x:fill>
      <x:patternFill patternType="solid">
        <x:fgColor rgb="FFEAF1FF"/>
      </x:patternFill>
    </x:fill>
    <x:fill>
      <x:patternFill patternType="solid">
        <x:fgColor rgb="FFFFF6DE"/>
      </x:patternFill>
    </x:fill>
    <x:fill>
      <x:patternFill patternType="solid">
        <x:fgColor rgb="FFFFF0DB"/>
      </x:patternFill>
    </x:fill>
    <x:fill>
      <x:patternFill patternType="solid">
        <x:fgColor rgb="FF112C56"/>
      </x:patternFill>
    </x:fill>
    <x:fill>
      <x:patternFill patternType="solid">
        <x:fgColor rgb="FFF6F7F9"/>
      </x:patternFill>
    </x:fill>
    <x:fill>
      <x:patternFill patternType="solid">
        <x:fgColor rgb="FFD45D00"/>
      </x:patternFill>
    </x:fill>
    <x:fill>
      <x:patternFill patternType="solid">
        <x:fgColor rgb="FFFFFFFF"/>
      </x:patternFill>
    </x:fill>
  </x:fills>
  <x:borders count="15">
    <x:border/>
    <x:border>
      <x:left style="thin">
        <x:color rgb="FF086046"/>
      </x:left>
      <x:top style="thin">
        <x:color rgb="FF086046"/>
      </x:top>
      <x:bottom style="thin">
        <x:color rgb="FF086046"/>
      </x:bottom>
    </x:border>
    <x:border>
      <x:top style="thin">
        <x:color rgb="FF086046"/>
      </x:top>
      <x:bottom style="thin">
        <x:color rgb="FF086046"/>
      </x:bottom>
    </x:border>
    <x:border>
      <x:right style="thin">
        <x:color rgb="FF086046"/>
      </x:right>
      <x:top style="thin">
        <x:color rgb="FF086046"/>
      </x:top>
      <x:bottom style="thin">
        <x:color rgb="FF08604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top style="thin">
        <x:color rgb="FF086046"/>
      </x:top>
    </x:border>
    <x:border>
      <x:right style="thin">
        <x:color rgb="FF086046"/>
      </x:right>
      <x:top style="thin">
        <x:color rgb="FF086046"/>
      </x:top>
    </x:border>
    <x:border>
      <x:left style="thin">
        <x:color rgb="FFC7CEDA"/>
      </x:left>
      <x:right style="thin">
        <x:color rgb="FFC7CEDA"/>
      </x:right>
      <x:top style="thin">
        <x:color rgb="FFC7CEDA"/>
      </x:top>
      <x:bottom style="thin">
        <x:color rgb="FFC7CEDA"/>
      </x:bottom>
    </x:border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3" fillId="4" borderId="0" xfId="0" applyAlignment="1">
      <x:alignment vertical="center"/>
    </x:xf>
    <x:xf numFmtId="0" fontId="0" fillId="5" borderId="0" xfId="0"/>
    <x:xf numFmtId="0" fontId="4" fillId="5" borderId="0" xfId="0"/>
    <x:xf numFmtId="0" fontId="4" fillId="5" borderId="1" xfId="0"/>
    <x:xf numFmtId="0" fontId="4" fillId="5" borderId="2" xfId="0"/>
    <x:xf numFmtId="0" fontId="4" fillId="5" borderId="3" xfId="0"/>
    <x:xf numFmtId="0" fontId="4" fillId="5" borderId="1" xfId="0" applyAlignment="1">
      <x:alignment wrapText="1"/>
    </x:xf>
    <x:xf numFmtId="0" fontId="4" fillId="5" borderId="2" xfId="0" applyAlignment="1">
      <x:alignment wrapText="1"/>
    </x:xf>
    <x:xf numFmtId="0" fontId="4" fillId="5" borderId="3" xfId="0" applyAlignment="1">
      <x:alignment wrapText="1"/>
    </x:xf>
    <x:xf numFmtId="0" fontId="4" fillId="5" borderId="1" xfId="0" applyAlignment="1">
      <x:alignment vertical="center" wrapText="1"/>
    </x:xf>
    <x:xf numFmtId="0" fontId="4" fillId="5" borderId="2" xfId="0" applyAlignment="1">
      <x:alignment vertical="center" wrapText="1"/>
    </x:xf>
    <x:xf numFmtId="0" fontId="4" fillId="5" borderId="3" xfId="0" applyAlignment="1">
      <x:alignment vertical="center" wrapText="1"/>
    </x:xf>
    <x:xf numFmtId="0" fontId="5" fillId="0" borderId="0" xfId="0"/>
    <x:xf numFmtId="0" fontId="5" fillId="0" borderId="4" xfId="0"/>
    <x:xf numFmtId="0" fontId="5" fillId="0" borderId="5" xfId="0"/>
    <x:xf numFmtId="0" fontId="5" fillId="0" borderId="6" xfId="0"/>
    <x:xf numFmtId="0" fontId="5" fillId="0" borderId="4" xfId="0" applyAlignment="1">
      <x:alignment wrapText="1"/>
    </x:xf>
    <x:xf numFmtId="0" fontId="5" fillId="0" borderId="5" xfId="0" applyAlignment="1">
      <x:alignment wrapText="1"/>
    </x:xf>
    <x:xf numFmtId="0" fontId="5" fillId="0" borderId="6" xfId="0" applyAlignment="1">
      <x:alignment wrapText="1"/>
    </x:xf>
    <x:xf numFmtId="0" fontId="5" fillId="0" borderId="4" xfId="0" applyAlignment="1">
      <x:alignment vertical="top" wrapText="1"/>
    </x:xf>
    <x:xf numFmtId="0" fontId="5" fillId="0" borderId="5" xfId="0" applyAlignment="1">
      <x:alignment vertical="top" wrapText="1"/>
    </x:xf>
    <x:xf numFmtId="0" fontId="5" fillId="0" borderId="6" xfId="0" applyAlignment="1">
      <x:alignment vertical="top" wrapText="1"/>
    </x:xf>
    <x:xf numFmtId="0" fontId="6" fillId="3" borderId="0" xfId="0"/>
    <x:xf numFmtId="0" fontId="6" fillId="3" borderId="0" xfId="0" applyAlignment="1">
      <x:alignment horizontal="center"/>
    </x:xf>
    <x:xf numFmtId="0" fontId="7" fillId="3" borderId="0" xfId="0" applyAlignment="1">
      <x:alignment horizontal="center"/>
    </x:xf>
    <x:xf numFmtId="0" fontId="7" fillId="3" borderId="4" xfId="0" applyAlignment="1">
      <x:alignment horizontal="center"/>
    </x:xf>
    <x:xf numFmtId="0" fontId="7" fillId="3" borderId="5" xfId="0" applyAlignment="1">
      <x:alignment horizontal="center"/>
    </x:xf>
    <x:xf numFmtId="0" fontId="7" fillId="3" borderId="6" xfId="0" applyAlignment="1">
      <x:alignment horizontal="center"/>
    </x:xf>
    <x:xf numFmtId="0" fontId="7" fillId="3" borderId="4" xfId="0" applyAlignment="1">
      <x:alignment horizontal="center" wrapText="1"/>
    </x:xf>
    <x:xf numFmtId="0" fontId="7" fillId="3" borderId="5" xfId="0" applyAlignment="1">
      <x:alignment horizontal="center" wrapText="1"/>
    </x:xf>
    <x:xf numFmtId="0" fontId="7" fillId="3" borderId="6" xfId="0" applyAlignment="1">
      <x:alignment horizontal="center" wrapText="1"/>
    </x:xf>
    <x:xf numFmtId="0" fontId="7" fillId="3" borderId="4" xfId="0" applyAlignment="1">
      <x:alignment horizontal="center" vertical="top" wrapText="1"/>
    </x:xf>
    <x:xf numFmtId="0" fontId="7" fillId="3" borderId="5" xfId="0" applyAlignment="1">
      <x:alignment horizontal="center" vertical="top" wrapText="1"/>
    </x:xf>
    <x:xf numFmtId="0" fontId="7" fillId="3" borderId="6" xfId="0" applyAlignment="1">
      <x:alignment horizontal="center" vertical="top" wrapText="1"/>
    </x:xf>
    <x:xf numFmtId="0" fontId="5" fillId="0" borderId="4" xfId="0" applyAlignment="1">
      <x:alignment horizontal="center" vertical="top" wrapText="1"/>
    </x:xf>
    <x:xf numFmtId="0" fontId="5" fillId="0" borderId="5" xfId="0" applyAlignment="1">
      <x:alignment horizontal="center" vertical="top" wrapText="1"/>
    </x:xf>
    <x:xf numFmtId="0" fontId="5" fillId="0" borderId="6" xfId="0" applyAlignment="1">
      <x:alignment horizontal="center" vertical="top" wrapText="1"/>
    </x:xf>
    <x:xf numFmtId="1" fontId="5" fillId="0" borderId="4" xfId="0" applyAlignment="1">
      <x:alignment horizontal="center" vertical="top" wrapText="1"/>
    </x:xf>
    <x:xf numFmtId="1" fontId="5" fillId="0" borderId="5" xfId="0" applyAlignment="1">
      <x:alignment horizontal="center" vertical="top" wrapText="1"/>
    </x:xf>
    <x:xf numFmtId="1" fontId="5" fillId="0" borderId="6" xfId="0" applyAlignment="1">
      <x:alignment horizontal="center" vertical="top" wrapText="1"/>
    </x:xf>
    <x:xf numFmtId="9" fontId="5" fillId="0" borderId="4" xfId="0" applyAlignment="1">
      <x:alignment vertical="top" wrapText="1"/>
    </x:xf>
    <x:xf numFmtId="9" fontId="5" fillId="0" borderId="5" xfId="0" applyAlignment="1">
      <x:alignment vertical="top" wrapText="1"/>
    </x:xf>
    <x:xf numFmtId="9" fontId="5" fillId="0" borderId="6" xfId="0" applyAlignment="1">
      <x:alignment vertical="top" wrapText="1"/>
    </x:xf>
    <x:xf numFmtId="0" fontId="4" fillId="5" borderId="0" xfId="0" applyAlignment="1">
      <x:alignment wrapText="1"/>
    </x:xf>
    <x:xf numFmtId="2" fontId="5" fillId="0" borderId="4" xfId="0" applyAlignment="1">
      <x:alignment vertical="top" wrapText="1"/>
    </x:xf>
    <x:xf numFmtId="2" fontId="5" fillId="0" borderId="5" xfId="0" applyAlignment="1">
      <x:alignment vertical="top" wrapText="1"/>
    </x:xf>
    <x:xf numFmtId="2" fontId="5" fillId="0" borderId="6" xfId="0" applyAlignment="1">
      <x:alignment vertical="top" wrapText="1"/>
    </x:xf>
    <x:xf numFmtId="0" fontId="8" fillId="2" borderId="0" xfId="0"/>
    <x:xf numFmtId="0" fontId="8" fillId="2" borderId="0" xfId="0" applyAlignment="1">
      <x:alignment wrapText="1"/>
    </x:xf>
    <x:xf numFmtId="0" fontId="8" fillId="2" borderId="0" xfId="0" applyAlignment="1">
      <x:alignment vertical="center" wrapText="1"/>
    </x:xf>
    <x:xf numFmtId="0" fontId="9" fillId="3" borderId="0" xfId="0"/>
    <x:xf numFmtId="0" fontId="9" fillId="3" borderId="7" xfId="0"/>
    <x:xf numFmtId="0" fontId="9" fillId="3" borderId="7" xfId="0" applyAlignment="1">
      <x:alignment wrapText="1"/>
    </x:xf>
    <x:xf numFmtId="0" fontId="9" fillId="3" borderId="7" xfId="0" applyAlignment="1">
      <x:alignment vertical="center" wrapText="1"/>
    </x:xf>
    <x:xf numFmtId="0" fontId="0" fillId="6" borderId="0" xfId="0"/>
    <x:xf numFmtId="0" fontId="9" fillId="6" borderId="0" xfId="0"/>
    <x:xf numFmtId="0" fontId="9" fillId="6" borderId="8" xfId="0"/>
    <x:xf numFmtId="0" fontId="9" fillId="6" borderId="5" xfId="0"/>
    <x:xf numFmtId="0" fontId="9" fillId="6" borderId="9" xfId="0"/>
    <x:xf numFmtId="0" fontId="9" fillId="6" borderId="8" xfId="0" applyAlignment="1">
      <x:alignment wrapText="1"/>
    </x:xf>
    <x:xf numFmtId="0" fontId="9" fillId="6" borderId="5" xfId="0" applyAlignment="1">
      <x:alignment wrapText="1"/>
    </x:xf>
    <x:xf numFmtId="0" fontId="9" fillId="6" borderId="9" xfId="0" applyAlignment="1">
      <x:alignment wrapText="1"/>
    </x:xf>
    <x:xf numFmtId="0" fontId="9" fillId="6" borderId="8" xfId="0" applyAlignment="1">
      <x:alignment vertical="center" wrapText="1"/>
    </x:xf>
    <x:xf numFmtId="0" fontId="9" fillId="6" borderId="5" xfId="0" applyAlignment="1">
      <x:alignment vertical="center" wrapText="1"/>
    </x:xf>
    <x:xf numFmtId="0" fontId="9" fillId="6" borderId="9" xfId="0" applyAlignment="1">
      <x:alignment vertical="center" wrapText="1"/>
    </x:xf>
    <x:xf numFmtId="0" fontId="0" fillId="7" borderId="0" xfId="0"/>
    <x:xf numFmtId="0" fontId="9" fillId="7" borderId="0" xfId="0"/>
    <x:xf numFmtId="0" fontId="9" fillId="7" borderId="8" xfId="0"/>
    <x:xf numFmtId="0" fontId="9" fillId="7" borderId="5" xfId="0"/>
    <x:xf numFmtId="0" fontId="9" fillId="7" borderId="9" xfId="0"/>
    <x:xf numFmtId="0" fontId="9" fillId="7" borderId="8" xfId="0" applyAlignment="1">
      <x:alignment wrapText="1"/>
    </x:xf>
    <x:xf numFmtId="0" fontId="9" fillId="7" borderId="5" xfId="0" applyAlignment="1">
      <x:alignment wrapText="1"/>
    </x:xf>
    <x:xf numFmtId="0" fontId="9" fillId="7" borderId="9" xfId="0" applyAlignment="1">
      <x:alignment wrapText="1"/>
    </x:xf>
    <x:xf numFmtId="0" fontId="9" fillId="7" borderId="8" xfId="0" applyAlignment="1">
      <x:alignment vertical="center" wrapText="1"/>
    </x:xf>
    <x:xf numFmtId="0" fontId="9" fillId="7" borderId="5" xfId="0" applyAlignment="1">
      <x:alignment vertical="center" wrapText="1"/>
    </x:xf>
    <x:xf numFmtId="0" fontId="9" fillId="7" borderId="9" xfId="0" applyAlignment="1">
      <x:alignment vertical="center" wrapText="1"/>
    </x:xf>
    <x:xf numFmtId="0" fontId="0" fillId="8" borderId="0" xfId="0"/>
    <x:xf numFmtId="0" fontId="9" fillId="8" borderId="0" xfId="0"/>
    <x:xf numFmtId="0" fontId="9" fillId="8" borderId="8" xfId="0"/>
    <x:xf numFmtId="0" fontId="9" fillId="8" borderId="5" xfId="0"/>
    <x:xf numFmtId="0" fontId="9" fillId="8" borderId="9" xfId="0"/>
    <x:xf numFmtId="0" fontId="9" fillId="8" borderId="8" xfId="0" applyAlignment="1">
      <x:alignment wrapText="1"/>
    </x:xf>
    <x:xf numFmtId="0" fontId="9" fillId="8" borderId="5" xfId="0" applyAlignment="1">
      <x:alignment wrapText="1"/>
    </x:xf>
    <x:xf numFmtId="0" fontId="9" fillId="8" borderId="9" xfId="0" applyAlignment="1">
      <x:alignment wrapText="1"/>
    </x:xf>
    <x:xf numFmtId="0" fontId="9" fillId="8" borderId="8" xfId="0" applyAlignment="1">
      <x:alignment vertical="center" wrapText="1"/>
    </x:xf>
    <x:xf numFmtId="0" fontId="9" fillId="8" borderId="5" xfId="0" applyAlignment="1">
      <x:alignment vertical="center" wrapText="1"/>
    </x:xf>
    <x:xf numFmtId="0" fontId="9" fillId="8" borderId="9" xfId="0" applyAlignment="1">
      <x:alignment vertical="center" wrapText="1"/>
    </x:xf>
    <x:xf numFmtId="0" fontId="9" fillId="7" borderId="0" xfId="0" applyAlignment="1">
      <x:alignment horizontal="center"/>
    </x:xf>
    <x:xf numFmtId="0" fontId="7" fillId="7" borderId="0" xfId="0" applyAlignment="1">
      <x:alignment horizontal="center"/>
    </x:xf>
    <x:xf numFmtId="0" fontId="7" fillId="7" borderId="4" xfId="0" applyAlignment="1">
      <x:alignment horizontal="center"/>
    </x:xf>
    <x:xf numFmtId="0" fontId="7" fillId="7" borderId="5" xfId="0" applyAlignment="1">
      <x:alignment horizontal="center"/>
    </x:xf>
    <x:xf numFmtId="0" fontId="7" fillId="7" borderId="6" xfId="0" applyAlignment="1">
      <x:alignment horizontal="center"/>
    </x:xf>
    <x:xf numFmtId="0" fontId="7" fillId="7" borderId="4" xfId="0" applyAlignment="1">
      <x:alignment horizontal="center" wrapText="1"/>
    </x:xf>
    <x:xf numFmtId="0" fontId="7" fillId="7" borderId="5" xfId="0" applyAlignment="1">
      <x:alignment horizontal="center" wrapText="1"/>
    </x:xf>
    <x:xf numFmtId="0" fontId="7" fillId="7" borderId="6" xfId="0" applyAlignment="1">
      <x:alignment horizontal="center" wrapText="1"/>
    </x:xf>
    <x:xf numFmtId="0" fontId="7" fillId="7" borderId="4" xfId="0" applyAlignment="1">
      <x:alignment horizontal="center" vertical="top" wrapText="1"/>
    </x:xf>
    <x:xf numFmtId="0" fontId="7" fillId="7" borderId="5" xfId="0" applyAlignment="1">
      <x:alignment horizontal="center" vertical="top" wrapText="1"/>
    </x:xf>
    <x:xf numFmtId="0" fontId="7" fillId="7" borderId="6" xfId="0" applyAlignment="1">
      <x:alignment horizontal="center" vertical="top" wrapText="1"/>
    </x:xf>
    <x:xf numFmtId="2" fontId="9" fillId="3" borderId="7" xfId="0" applyAlignment="1">
      <x:alignment vertical="center" wrapText="1"/>
    </x:xf>
    <x:xf numFmtId="2" fontId="8" fillId="2" borderId="0" xfId="0" applyAlignment="1">
      <x:alignment vertical="center" wrapText="1"/>
    </x:xf>
    <x:xf numFmtId="0" fontId="9" fillId="6" borderId="7" xfId="0"/>
    <x:xf numFmtId="0" fontId="9" fillId="6" borderId="7" xfId="0" applyAlignment="1">
      <x:alignment wrapText="1"/>
    </x:xf>
    <x:xf numFmtId="0" fontId="9" fillId="6" borderId="7" xfId="0" applyAlignment="1">
      <x:alignment vertical="center" wrapText="1"/>
    </x:xf>
    <x:xf numFmtId="0" fontId="9" fillId="8" borderId="7" xfId="0"/>
    <x:xf numFmtId="0" fontId="9" fillId="8" borderId="7" xfId="0" applyAlignment="1">
      <x:alignment wrapText="1"/>
    </x:xf>
    <x:xf numFmtId="0" fontId="9" fillId="8" borderId="7" xfId="0" applyAlignment="1">
      <x:alignment vertical="center" wrapText="1"/>
    </x:xf>
    <x:xf numFmtId="0" fontId="6" fillId="3" borderId="0" xfId="0" applyAlignment="1">
      <x:alignment wrapText="1"/>
    </x:xf>
    <x:xf numFmtId="0" fontId="6" fillId="3" borderId="0" xfId="0" applyAlignment="1">
      <x:alignment vertical="top" wrapText="1"/>
    </x:xf>
    <x:xf numFmtId="0" fontId="10" fillId="7" borderId="0" xfId="0"/>
    <x:xf numFmtId="0" fontId="10" fillId="7" borderId="0" xfId="0" applyAlignment="1">
      <x:alignment wrapText="1"/>
    </x:xf>
    <x:xf numFmtId="0" fontId="10" fillId="7" borderId="0" xfId="0" applyAlignment="1">
      <x:alignment vertical="center" wrapText="1"/>
    </x:xf>
    <x:xf numFmtId="0" fontId="0" fillId="0" borderId="4" xfId="0"/>
    <x:xf numFmtId="0" fontId="0" fillId="0" borderId="5" xfId="0"/>
    <x:xf numFmtId="0" fontId="0" fillId="0" borderId="6" xfId="0"/>
    <x:xf numFmtId="2" fontId="9" fillId="3" borderId="7" xfId="0" applyAlignment="1">
      <x:alignment vertical="center" wrapText="1"/>
    </x:xf>
    <x:xf numFmtId="2" fontId="8" fillId="2" borderId="0" xfId="0" applyAlignment="1">
      <x:alignment vertical="center" wrapText="1"/>
    </x:xf>
    <x:xf numFmtId="0" fontId="0" fillId="0" borderId="9" xfId="0"/>
    <x:xf numFmtId="0" fontId="9" fillId="7" borderId="7" xfId="0" applyAlignment="1">
      <x:alignment vertical="center" wrapText="1"/>
    </x:xf>
    <x:xf numFmtId="2" fontId="5" fillId="0" borderId="4" xfId="0" applyAlignment="1">
      <x:alignment vertical="top" wrapText="1"/>
    </x:xf>
    <x:xf numFmtId="2" fontId="5" fillId="0" borderId="5" xfId="0" applyAlignment="1">
      <x:alignment vertical="top" wrapText="1"/>
    </x:xf>
    <x:xf numFmtId="2" fontId="5" fillId="0" borderId="6" xfId="0" applyAlignment="1">
      <x:alignment vertical="top" wrapText="1"/>
    </x:xf>
    <x:xf numFmtId="9" fontId="5" fillId="0" borderId="4" xfId="0" applyAlignment="1">
      <x:alignment vertical="top" wrapText="1"/>
    </x:xf>
    <x:xf numFmtId="9" fontId="5" fillId="0" borderId="5" xfId="0" applyAlignment="1">
      <x:alignment vertical="top" wrapText="1"/>
    </x:xf>
    <x:xf numFmtId="9" fontId="5" fillId="0" borderId="6" xfId="0" applyAlignment="1">
      <x:alignment vertical="top" wrapText="1"/>
    </x:xf>
    <x:xf numFmtId="1" fontId="5" fillId="0" borderId="4" xfId="0" applyAlignment="1">
      <x:alignment horizontal="center" vertical="top" wrapText="1"/>
    </x:xf>
    <x:xf numFmtId="1" fontId="5" fillId="0" borderId="5" xfId="0" applyAlignment="1">
      <x:alignment horizontal="center" vertical="top" wrapText="1"/>
    </x:xf>
    <x:xf numFmtId="1" fontId="5" fillId="0" borderId="6" xfId="0" applyAlignment="1">
      <x:alignment horizontal="center" vertical="top" wrapText="1"/>
    </x:xf>
    <x:xf numFmtId="0" fontId="0" fillId="0" borderId="2" xfId="0"/>
    <x:xf numFmtId="0" fontId="0" fillId="0" borderId="3" xfId="0"/>
    <x:xf numFmtId="0" fontId="5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3" xfId="0" applyNumberFormat="1" applyFont="1" applyFill="1" applyBorder="1"/>
    <x:xf numFmtId="0" fontId="8" fillId="9" borderId="13" xfId="0" applyNumberFormat="1" applyFont="1" applyFill="1" applyBorder="1" applyAlignment="1">
      <x:alignment wrapText="1"/>
    </x:xf>
    <x:xf numFmtId="0" fontId="8" fillId="9" borderId="13" xfId="0" applyNumberFormat="1" applyFont="1" applyFill="1" applyBorder="1" applyAlignment="1">
      <x:alignment horizontal="center" wrapText="1"/>
    </x:xf>
    <x:xf numFmtId="0" fontId="8" fillId="9" borderId="1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14" xfId="0" applyNumberFormat="1" applyFont="1" applyFill="1" applyBorder="1"/>
    <x:xf numFmtId="0" fontId="11" fillId="10" borderId="14" xfId="0" applyNumberFormat="1" applyFont="1" applyFill="1" applyBorder="1" applyAlignment="1">
      <x:alignment horizontal="center"/>
    </x:xf>
    <x:xf numFmtId="0" fontId="11" fillId="10" borderId="14" xfId="0" applyNumberFormat="1" applyFont="1" applyFill="1" applyBorder="1" applyAlignment="1">
      <x:alignment horizontal="center" vertical="center"/>
    </x:xf>
    <x:xf numFmtId="200" fontId="11" fillId="10" borderId="14" xfId="0" applyNumberFormat="1" applyFont="1" applyFill="1" applyBorder="1" applyAlignment="1">
      <x:alignment horizontal="center" vertical="center"/>
    </x:xf>
    <x:xf numFmtId="201" fontId="11" fillId="10" borderId="14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3" xfId="0" applyNumberFormat="1" applyFont="1" applyFill="1" applyBorder="1"/>
    <x:xf numFmtId="0" fontId="8" fillId="11" borderId="13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13" xfId="0" applyNumberFormat="1" applyFont="1" applyFill="1" applyBorder="1"/>
    <x:xf numFmtId="0" fontId="11" fillId="12" borderId="13" xfId="0" applyNumberFormat="1" applyFont="1" applyFill="1" applyBorder="1" applyAlignment="1">
      <x:alignment wrapText="1"/>
    </x:xf>
    <x:xf numFmtId="0" fontId="11" fillId="12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b/>
        <x:color rgb="FFB42318"/>
      </x:font>
      <x:fill>
        <x:patternFill>
          <x:bgColor rgb="FFFEECEB"/>
        </x:patternFill>
      </x:fill>
    </x:dxf>
    <x:dxf>
      <x:font>
        <x:b/>
        <x:color rgb="FFD97706"/>
      </x:font>
      <x:fill>
        <x:patternFill>
          <x:bgColor rgb="FFFFF0DB"/>
        </x:patternFill>
      </x:fill>
    </x:dxf>
    <x:dxf>
      <x:font>
        <x:b/>
        <x:color rgb="FFD39A2C"/>
      </x:font>
      <x:fill>
        <x:patternFill>
          <x:bgColor rgb="FFFFF6DE"/>
        </x:patternFill>
      </x:fill>
    </x:dxf>
    <x:dxf>
      <x:font>
        <x:b/>
        <x:color rgb="FF086046"/>
      </x:font>
      <x:fill>
        <x:patternFill>
          <x:bgColor rgb="FFE8F6F1"/>
        </x:patternFill>
      </x:fill>
    </x:dxf>
    <x:dxf>
      <x:font>
        <x:b/>
        <x:color rgb="FFB42318"/>
      </x:font>
      <x:fill>
        <x:patternFill>
          <x:bgColor rgb="FFFEECEB"/>
        </x:patternFill>
      </x:fill>
    </x:dxf>
    <x:dxf>
      <x:font>
        <x:b/>
        <x:color rgb="FFD97706"/>
      </x:font>
      <x:fill>
        <x:patternFill>
          <x:bgColor rgb="FFFFF0DB"/>
        </x:patternFill>
      </x:fill>
    </x:dxf>
    <x:dxf>
      <x:font>
        <x:b/>
        <x:color rgb="FF086046"/>
      </x:font>
      <x:fill>
        <x:patternFill>
          <x:bgColor rgb="FFE8F6F1"/>
        </x:patternFill>
      </x:fill>
    </x:dxf>
    <x:dxf>
      <x:font>
        <x:b/>
        <x:color rgb="FFB42318"/>
      </x:font>
      <x:fill>
        <x:patternFill>
          <x:bgColor rgb="FFFEECEB"/>
        </x:patternFill>
      </x:fill>
    </x:dxf>
    <x:dxf>
      <x:font>
        <x:b/>
        <x:color rgb="FFB42318"/>
      </x:font>
      <x:fill>
        <x:patternFill>
          <x:bgColor rgb="FFFEECEB"/>
        </x:patternFill>
      </x:fill>
    </x:dxf>
    <x:dxf>
      <x:font>
        <x:b/>
        <x:color rgb="FFD97706"/>
      </x:font>
      <x:fill>
        <x:patternFill>
          <x:bgColor rgb="FFFFF0DB"/>
        </x:patternFill>
      </x:fill>
    </x:dxf>
    <x:dxf>
      <x:font>
        <x:b/>
        <x:color rgb="FFD39A2C"/>
      </x:font>
      <x:fill>
        <x:patternFill>
          <x:bgColor rgb="FFFFF6DE"/>
        </x:patternFill>
      </x:fill>
    </x:dxf>
    <x:dxf>
      <x:font>
        <x:b/>
        <x:color rgb="FFB42318"/>
      </x:font>
      <x:fill>
        <x:patternFill>
          <x:bgColor rgb="FFFEECEB"/>
        </x:patternFill>
      </x:fill>
    </x:dxf>
    <x:dxf>
      <x:font>
        <x:b/>
        <x:color rgb="FFD97706"/>
      </x:font>
      <x:fill>
        <x:patternFill>
          <x:bgColor rgb="FFFFF0DB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48c9d68a943e2" /><Relationship Type="http://schemas.openxmlformats.org/officeDocument/2006/relationships/theme" Target="/xl/theme/theme1.xml" Id="R65919c386f8d45dd" /><Relationship Type="http://schemas.openxmlformats.org/officeDocument/2006/relationships/sharedStrings" Target="/xl/sharedStrings.xml" Id="R68d3a70e6f434d92" /><Relationship Type="http://schemas.openxmlformats.org/officeDocument/2006/relationships/worksheet" Target="/xl/worksheets/sheet1.xml" Id="R483f9e20d2304c16" /><Relationship Type="http://schemas.openxmlformats.org/officeDocument/2006/relationships/worksheet" Target="/xl/worksheets/sheet2.xml" Id="R8ff931dc71d34aef" /><Relationship Type="http://schemas.openxmlformats.org/officeDocument/2006/relationships/worksheet" Target="/xl/worksheets/sheet3.xml" Id="Rf38c19cb20c0489f" /><Relationship Type="http://schemas.openxmlformats.org/officeDocument/2006/relationships/worksheet" Target="/xl/worksheets/sheet4.xml" Id="Rdd05eae160b945c1" /><Relationship Type="http://schemas.openxmlformats.org/officeDocument/2006/relationships/worksheet" Target="/xl/worksheets/sheet5.xml" Id="R33c28c4546f94b08" /><Relationship Type="http://schemas.openxmlformats.org/officeDocument/2006/relationships/worksheet" Target="/xl/worksheets/sheet6.xml" Id="R726d0da784b341d2" /><Relationship Type="http://schemas.openxmlformats.org/officeDocument/2006/relationships/worksheet" Target="/xl/worksheets/sheet7.xml" Id="Rf6c18cf419d54dcd" /><Relationship Type="http://schemas.openxmlformats.org/officeDocument/2006/relationships/worksheet" Target="/xl/worksheets/sheet8.xml" Id="R729386ada1c54b9f" /><Relationship Type="http://schemas.openxmlformats.org/officeDocument/2006/relationships/worksheet" Target="/xl/worksheets/sheet9.xml" Id="Rbc509776131d42b1" /><Relationship Type="http://schemas.openxmlformats.org/officeDocument/2006/relationships/worksheet" Target="/xl/worksheets/sheet10.xml" Id="Rb0fde08f64654e8f" /></Relationships>
</file>

<file path=xl/tables/table1.xml><?xml version="1.0" encoding="utf-8"?>
<x:table xmlns:x="http://schemas.openxmlformats.org/spreadsheetml/2006/main" id="1" name="DirigeantScoring" displayName="DirigeantScoring" ref="A4:Q60" headerRowCount="1" totalsRowCount="0" totalsRowShown="0">
  <x:tableColumns count="17">
    <x:tableColumn id="1" name="Code"/>
    <x:tableColumn id="2" name="N°"/>
    <x:tableColumn id="3" name="Question validée"/>
    <x:tableColumn id="4" name="Option validée"/>
    <x:tableColumn id="5" name="Dim. +2"/>
    <x:tableColumn id="6" name="Pts"/>
    <x:tableColumn id="7" name="Dim. +1"/>
    <x:tableColumn id="8" name="Pts"/>
    <x:tableColumn id="9" name="Dimension de qualification"/>
    <x:tableColumn id="10" name="Points /3"/>
    <x:tableColumn id="11" name="Poids"/>
    <x:tableColumn id="12" name="Applicable"/>
    <x:tableColumn id="13" name="Tag 1"/>
    <x:tableColumn id="14" name="Valeur 1"/>
    <x:tableColumn id="15" name="Tag 2"/>
    <x:tableColumn id="16" name="Valeur 2"/>
    <x:tableColumn id="17" name="Justificati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ayonnementScoring" displayName="RayonnementScoring" ref="A4:J32" headerRowCount="1" totalsRowCount="0" totalsRowShown="0">
  <x:tableColumns count="10">
    <x:tableColumn id="1" name="Code"/>
    <x:tableColumn id="2" name="N°"/>
    <x:tableColumn id="3" name="Question validée"/>
    <x:tableColumn id="4" name="Option validée"/>
    <x:tableColumn id="5" name="Dimension"/>
    <x:tableColumn id="6" name="Points"/>
    <x:tableColumn id="7" name="Maximum"/>
    <x:tableColumn id="8" name="Tag"/>
    <x:tableColumn id="9" name="Valeur"/>
    <x:tableColumn id="10" name="Règle d’interprétation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iagnosticLibrary" displayName="DiagnosticLibrary" ref="A4:N88" headerRowCount="1" totalsRowCount="0" totalsRowShown="0">
  <x:tableColumns count="14">
    <x:tableColumn id="1" name="Code"/>
    <x:tableColumn id="2" name="Parcours"/>
    <x:tableColumn id="3" name="N°"/>
    <x:tableColumn id="4" name="Question validée"/>
    <x:tableColumn id="5" name="Option validée"/>
    <x:tableColumn id="6" name="Dimension"/>
    <x:tableColumn id="7" name="Nature"/>
    <x:tableColumn id="8" name="Gravité"/>
    <x:tableColumn id="9" name="Niveau"/>
    <x:tableColumn id="10" name="Constat factuel"/>
    <x:tableColumn id="11" name="Difficulté précise"/>
    <x:tableColumn id="12" name="Hypothèse à approfondir"/>
    <x:tableColumn id="13" name="Question de relance"/>
    <x:tableColumn id="14" name="Utilisation commercial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ombinedDiagnosticRules" displayName="CombinedDiagnosticRules" ref="A4:G20" headerRowCount="1" totalsRowCount="0" totalsRowShown="0">
  <x:tableColumns count="7">
    <x:tableColumn id="1" name="ID"/>
    <x:tableColumn id="2" name="Thème"/>
    <x:tableColumn id="3" name="Gravité"/>
    <x:tableColumn id="4" name="Condition de détection"/>
    <x:tableColumn id="5" name="Signaux croisés"/>
    <x:tableColumn id="6" name="Hypothèse à approfondir"/>
    <x:tableColumn id="7" name="Question de relanc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ArchetypesTable" displayName="ArchetypesTable" ref="A4:K12" headerRowCount="1" totalsRowCount="0" totalsRowShown="0">
  <x:tableColumns count="11">
    <x:tableColumn id="1" name="Archétype"/>
    <x:tableColumn id="2" name="Inspiré par"/>
    <x:tableColumn id="3" name="Centrale"/>
    <x:tableColumn id="4" name="2e dimension"/>
    <x:tableColumn id="5" name="3e dimension"/>
    <x:tableColumn id="6" name="Poids 1"/>
    <x:tableColumn id="7" name="Poids 2"/>
    <x:tableColumn id="8" name="Poids 3"/>
    <x:tableColumn id="9" name="Traits dominants"/>
    <x:tableColumn id="10" name="Forces"/>
    <x:tableColumn id="11" name="Risqu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f4fb51632f347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9ad6aeb6ef34d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55fc9298cfe048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890f33239e114c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61e79a7142cb4f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.219999313354492" customWidth="1"/>
    <x:col min="2" max="2" width="19.440000534057617" customWidth="1"/>
    <x:col min="3" max="3" width="13.329999923706055" customWidth="1"/>
    <x:col min="4" max="4" width="14.4399995803833" customWidth="1"/>
    <x:col min="5" max="5" width="21.110000610351562" customWidth="1"/>
    <x:col min="6" max="6" width="12.779999732971191" customWidth="1"/>
    <x:col min="7" max="7" width="21.110000610351562" customWidth="1"/>
    <x:col min="8" max="8" width="10" customWidth="1"/>
  </x:cols>
  <x:sheetData>
    <x:row r="1" ht="22.5" customHeight="1">
      <x:c r="A1" s="3" t="inlineStr">
        <x:is>
          <x:t xml:space="preserve">Matrice de scoring — Profil du dirigeant &amp; Rayonnement</x:t>
        </x:is>
      </x:c>
    </x:row>
    <x:row r="2" ht="22.5" customHeight="1">
      <x:c r="A2" s="7" t="str">
        <x:v>Version normative V2.2 • Scoring validé • Fiche de diagnostic commercial par prospect • Nom public final : Radar by FeexPay</x:v>
      </x:c>
    </x:row>
    <x:row r="3" ht="22.5" customHeight="1"/>
    <x:row r="4" ht="22.5" customHeight="1"/>
    <x:row r="5" ht="22.5" customHeight="1">
      <x:c r="A5" s="10" t="inlineStr">
        <x:is>
          <x:t xml:space="preserve">Architecture retenue</x:t>
        </x:is>
      </x:c>
    </x:row>
    <x:row r="6" ht="22.5" customHeight="1">
      <x:c r="A6" s="19" t="inlineStr">
        <x:is>
          <x:t xml:space="preserve">Couche</x:t>
        </x:is>
      </x:c>
      <x:c r="B6" s="20" t="inlineStr">
        <x:is>
          <x:t xml:space="preserve">Sortie</x:t>
        </x:is>
      </x:c>
      <x:c r="C6" s="20" t="inlineStr">
        <x:is>
          <x:t xml:space="preserve">Public / interne</x:t>
        </x:is>
      </x:c>
      <x:c r="D6" s="20" t="inlineStr">
        <x:is>
          <x:t xml:space="preserve">Base</x:t>
        </x:is>
      </x:c>
      <x:c r="E6" s="20" t="inlineStr">
        <x:is>
          <x:t xml:space="preserve">Objectif</x:t>
        </x:is>
      </x:c>
      <x:c r="F6" s="20" t="inlineStr">
        <x:is>
          <x:t xml:space="preserve">Échelle</x:t>
        </x:is>
      </x:c>
      <x:c r="G6" s="20" t="inlineStr">
        <x:is>
          <x:t xml:space="preserve">Décision clé</x:t>
        </x:is>
      </x:c>
      <x:c r="H6" s="21" t="inlineStr">
        <x:is>
          <x:t xml:space="preserve">Statut</x:t>
        </x:is>
      </x:c>
    </x:row>
    <x:row r="7" ht="22.5" customHeight="1">
      <x:c r="A7" s="29" t="inlineStr">
        <x:is>
          <x:t xml:space="preserve">Profil du dirigeant</x:t>
        </x:is>
      </x:c>
      <x:c r="B7" s="29" t="inlineStr">
        <x:is>
          <x:t xml:space="preserve">1 archétype principal + secondaire éventuel</x:t>
        </x:is>
      </x:c>
      <x:c r="C7" s="29" t="inlineStr">
        <x:is>
          <x:t xml:space="preserve">Public</x:t>
        </x:is>
      </x:c>
      <x:c r="D7" s="29" t="inlineStr">
        <x:is>
          <x:t xml:space="preserve">14 réponses</x:t>
        </x:is>
      </x:c>
      <x:c r="E7" s="29" t="inlineStr">
        <x:is>
          <x:t xml:space="preserve">Créer une restitution ludique</x:t>
        </x:is>
      </x:c>
      <x:c r="F7" s="29" t="inlineStr">
        <x:is>
          <x:t xml:space="preserve">8 archétypes</x:t>
        </x:is>
      </x:c>
      <x:c r="G7" s="29" t="inlineStr">
        <x:is>
          <x:t xml:space="preserve">+2 dimension principale, +1 secondaire</x:t>
        </x:is>
      </x:c>
      <x:c r="H7" s="29" t="str">
        <x:v>Validé — norme V2.2</x:v>
      </x:c>
    </x:row>
    <x:row r="8" ht="22.5" customHeight="1">
      <x:c r="A8" s="30" t="inlineStr">
        <x:is>
          <x:t xml:space="preserve">Pilotage FeexPay</x:t>
        </x:is>
      </x:c>
      <x:c r="B8" s="30" t="inlineStr">
        <x:is>
          <x:t xml:space="preserve">Maturité opérationnelle</x:t>
        </x:is>
      </x:c>
      <x:c r="C8" s="30" t="inlineStr">
        <x:is>
          <x:t xml:space="preserve">Interne</x:t>
        </x:is>
      </x:c>
      <x:c r="D8" s="30" t="inlineStr">
        <x:is>
          <x:t xml:space="preserve">8 indicateurs</x:t>
        </x:is>
      </x:c>
      <x:c r="E8" s="30" t="inlineStr">
        <x:is>
          <x:t xml:space="preserve">Qualifier les besoins réels</x:t>
        </x:is>
      </x:c>
      <x:c r="F8" s="30" t="inlineStr">
        <x:is>
          <x:t xml:space="preserve">0–100</x:t>
        </x:is>
      </x:c>
      <x:c r="G8" s="30" t="inlineStr">
        <x:is>
          <x:t xml:space="preserve">Q9D est neutre et exclue du dénominateur</x:t>
        </x:is>
      </x:c>
      <x:c r="H8" s="30" t="str">
        <x:v>Validé — norme V2.2</x:v>
      </x:c>
    </x:row>
    <x:row r="9" ht="22.5" customHeight="1">
      <x:c r="A9" s="30" t="inlineStr">
        <x:is>
          <x:t xml:space="preserve">Rayonnement</x:t>
        </x:is>
      </x:c>
      <x:c r="B9" s="30" t="inlineStr">
        <x:is>
          <x:t xml:space="preserve">Score, niveau et météo</x:t>
        </x:is>
      </x:c>
      <x:c r="C9" s="30" t="inlineStr">
        <x:is>
          <x:t xml:space="preserve">Public</x:t>
        </x:is>
      </x:c>
      <x:c r="D9" s="30" t="inlineStr">
        <x:is>
          <x:t xml:space="preserve">6 questions scorées + 1 tag</x:t>
        </x:is>
      </x:c>
      <x:c r="E9" s="30" t="inlineStr">
        <x:is>
          <x:t xml:space="preserve">Mesurer les manifestations visibles</x:t>
        </x:is>
      </x:c>
      <x:c r="F9" s="30" t="inlineStr">
        <x:is>
          <x:t xml:space="preserve">0–100 / 5 niveaux</x:t>
        </x:is>
      </x:c>
      <x:c r="G9" s="30" t="inlineStr">
        <x:is>
          <x:t xml:space="preserve">Q3 qualifie sans hiérarchiser</x:t>
        </x:is>
      </x:c>
      <x:c r="H9" s="30" t="str">
        <x:v>Validé — norme V2.2</x:v>
      </x:c>
    </x:row>
    <x:row r="10" ht="22.5" customHeight="1">
      <x:c r="A10" s="31" t="inlineStr">
        <x:is>
          <x:t xml:space="preserve">Lecture croisée</x:t>
        </x:is>
      </x:c>
      <x:c r="B10" s="31" t="inlineStr">
        <x:is>
          <x:t xml:space="preserve">Cohérence causale</x:t>
        </x:is>
      </x:c>
      <x:c r="C10" s="31" t="inlineStr">
        <x:is>
          <x:t xml:space="preserve">Interne + rapport</x:t>
        </x:is>
      </x:c>
      <x:c r="D10" s="31" t="inlineStr">
        <x:is>
          <x:t xml:space="preserve">Pilotage vs rayonnement</x:t>
        </x:is>
      </x:c>
      <x:c r="E10" s="31" t="inlineStr">
        <x:is>
          <x:t xml:space="preserve">Lire la relation fondations → rayonnement</x:t>
        </x:is>
      </x:c>
      <x:c r="F10" s="31" t="inlineStr">
        <x:is>
          <x:t xml:space="preserve">4 lectures</x:t>
        </x:is>
      </x:c>
      <x:c r="G10" s="31" t="inlineStr">
        <x:is>
          <x:t xml:space="preserve">Seuil de solidité : 60/100</x:t>
        </x:is>
      </x:c>
      <x:c r="H10" s="31" t="str">
        <x:v>Validé — norme V2.2</x:v>
      </x:c>
    </x:row>
    <x:row r="11" ht="22.5" customHeight="1"/>
    <x:row r="12" ht="22.5" customHeight="1">
      <x:c r="A12" s="10" t="inlineStr">
        <x:is>
          <x:t xml:space="preserve">Principes de scoring</x:t>
        </x:is>
      </x:c>
    </x:row>
    <x:row r="13" ht="22.5" customHeight="1">
      <x:c r="A13" s="41" t="inlineStr">
        <x:is>
          <x:t xml:space="preserve">1</x:t>
        </x:is>
      </x:c>
      <x:c r="B13" s="29" t="inlineStr">
        <x:is>
          <x:t xml:space="preserve">Les formulations validées sont reprises sans modification.</x:t>
        </x:is>
      </x:c>
      <x:c r="C13" s="121" t="n"/>
      <x:c r="D13" s="121" t="n"/>
      <x:c r="E13" s="121" t="n"/>
      <x:c r="F13" s="121" t="n"/>
      <x:c r="G13" s="121" t="n"/>
      <x:c r="H13" s="121" t="n"/>
    </x:row>
    <x:row r="14" ht="22.5" customHeight="1">
      <x:c r="A14" s="42" t="inlineStr">
        <x:is>
          <x:t xml:space="preserve">2</x:t>
        </x:is>
      </x:c>
      <x:c r="B14" s="30" t="inlineStr">
        <x:is>
          <x:t xml:space="preserve">Le profil public et la qualification FeexPay sont deux calculs distincts.</x:t>
        </x:is>
      </x:c>
      <x:c r="C14" s="122" t="n"/>
      <x:c r="D14" s="122" t="n"/>
      <x:c r="E14" s="122" t="n"/>
      <x:c r="F14" s="122" t="n"/>
      <x:c r="G14" s="122" t="n"/>
      <x:c r="H14" s="122" t="n"/>
    </x:row>
    <x:row r="15" ht="22.5" customHeight="1">
      <x:c r="A15" s="42" t="inlineStr">
        <x:is>
          <x:t xml:space="preserve">3</x:t>
        </x:is>
      </x:c>
      <x:c r="B15" s="30" t="inlineStr">
        <x:is>
          <x:t xml:space="preserve">Une réponse opérationnellement faible ne retire aucun point à un archétype : elle alimente le score interne de pilotage.</x:t>
        </x:is>
      </x:c>
      <x:c r="C15" s="122" t="n"/>
      <x:c r="D15" s="122" t="n"/>
      <x:c r="E15" s="122" t="n"/>
      <x:c r="F15" s="122" t="n"/>
      <x:c r="G15" s="122" t="n"/>
      <x:c r="H15" s="122" t="n"/>
    </x:row>
    <x:row r="16" ht="22.5" customHeight="1">
      <x:c r="A16" s="42" t="inlineStr">
        <x:is>
          <x:t xml:space="preserve">4</x:t>
        </x:is>
      </x:c>
      <x:c r="B16" s="30" t="inlineStr">
        <x:is>
          <x:t xml:space="preserve">Être seul à encaisser n’est pas assimilé à un manque d’organisation : Q9D est non applicable au score de délégation.</x:t>
        </x:is>
      </x:c>
      <x:c r="C16" s="122" t="n"/>
      <x:c r="D16" s="122" t="n"/>
      <x:c r="E16" s="122" t="n"/>
      <x:c r="F16" s="122" t="n"/>
      <x:c r="G16" s="122" t="n"/>
      <x:c r="H16" s="122" t="n"/>
    </x:row>
    <x:row r="17" ht="22.5" customHeight="1">
      <x:c r="A17" s="42" t="inlineStr">
        <x:is>
          <x:t xml:space="preserve">5</x:t>
        </x:is>
      </x:c>
      <x:c r="B17" s="30" t="inlineStr">
        <x:is>
          <x:t xml:space="preserve">Le canal de vente, le déclencheur d’adoption et le besoin prioritaire sont des tags commerciaux, pas des notes de valeur.</x:t>
        </x:is>
      </x:c>
      <x:c r="C17" s="122" t="n"/>
      <x:c r="D17" s="122" t="n"/>
      <x:c r="E17" s="122" t="n"/>
      <x:c r="F17" s="122" t="n"/>
      <x:c r="G17" s="122" t="n"/>
      <x:c r="H17" s="122" t="n"/>
    </x:row>
    <x:row r="18" ht="22.5" customHeight="1">
      <x:c r="A18" s="42" t="inlineStr">
        <x:is>
          <x:t xml:space="preserve">6</x:t>
        </x:is>
      </x:c>
      <x:c r="B18" s="30" t="inlineStr">
        <x:is>
          <x:t xml:space="preserve">Prix, proximité, qualité et avantage distinctif sont quatre natures de différenciation non hiérarchisées.</x:t>
        </x:is>
      </x:c>
      <x:c r="C18" s="122" t="n"/>
      <x:c r="D18" s="122" t="n"/>
      <x:c r="E18" s="122" t="n"/>
      <x:c r="F18" s="122" t="n"/>
      <x:c r="G18" s="122" t="n"/>
      <x:c r="H18" s="122" t="n"/>
    </x:row>
    <x:row r="19" ht="22.5" customHeight="1">
      <x:c r="A19" s="42" t="inlineStr">
        <x:is>
          <x:t xml:space="preserve">7</x:t>
        </x:is>
      </x:c>
      <x:c r="B19" s="30" t="inlineStr">
        <x:is>
          <x:t xml:space="preserve">Le Rayonnement est traité comme une conséquence observable de la manière dont l’activité est structurée et pilotée.</x:t>
        </x:is>
      </x:c>
      <x:c r="C19" s="122" t="n"/>
      <x:c r="D19" s="122" t="n"/>
      <x:c r="E19" s="122" t="n"/>
      <x:c r="F19" s="122" t="n"/>
      <x:c r="G19" s="122" t="n"/>
      <x:c r="H19" s="122" t="n"/>
    </x:row>
    <x:row r="20" ht="22.5" customHeight="1">
      <x:c r="A20" s="43" t="inlineStr">
        <x:is>
          <x:t xml:space="preserve">8</x:t>
        </x:is>
      </x:c>
      <x:c r="B20" s="31" t="inlineStr">
        <x:is>
          <x:t xml:space="preserve">Les seuils et poids sont versionnés afin de préserver l’explicabilité des résultats.</x:t>
        </x:is>
      </x:c>
      <x:c r="C20" s="123" t="n"/>
      <x:c r="D20" s="123" t="n"/>
      <x:c r="E20" s="123" t="n"/>
      <x:c r="F20" s="123" t="n"/>
      <x:c r="G20" s="123" t="n"/>
      <x:c r="H20" s="123" t="n"/>
    </x:row>
    <x:row r="21" ht="22.5" customHeight="1"/>
    <x:row r="22" ht="22.5" customHeight="1">
      <x:c r="A22" s="10" t="inlineStr">
        <x:is>
          <x:t xml:space="preserve">Sources de travail</x:t>
        </x:is>
      </x:c>
    </x:row>
    <x:row r="23" ht="22.5" customHeight="1">
      <x:c r="A23" s="29" t="inlineStr">
        <x:is>
          <x:t xml:space="preserve">Questions</x:t>
        </x:is>
      </x:c>
      <x:c r="B23" s="29" t="inlineStr">
        <x:is>
          <x:t xml:space="preserve">14 questions Dirigeant et 7 questions Rayonnement validées par le client le 18 août 2026.</x:t>
        </x:is>
      </x:c>
      <x:c r="C23" s="121" t="n"/>
      <x:c r="D23" s="121" t="n"/>
      <x:c r="E23" s="121" t="n"/>
      <x:c r="F23" s="121" t="n"/>
      <x:c r="G23" s="121" t="n"/>
      <x:c r="H23" s="121" t="n"/>
    </x:row>
    <x:row r="24" ht="22.5" customHeight="1">
      <x:c r="A24" s="30" t="inlineStr">
        <x:is>
          <x:t xml:space="preserve">Profils et règles</x:t>
        </x:is>
      </x:c>
      <x:c r="B24" s="30" t="str">
        <x:v>Document de cadrage validé — archétypes, empreintes, départages et niveaux.</x:v>
      </x:c>
      <x:c r="C24" s="122" t="n"/>
      <x:c r="D24" s="122" t="n"/>
      <x:c r="E24" s="122" t="n"/>
      <x:c r="F24" s="122" t="n"/>
      <x:c r="G24" s="122" t="n"/>
      <x:c r="H24" s="122" t="n"/>
    </x:row>
    <x:row r="25" ht="22.5" customHeight="1">
      <x:c r="A25" s="31" t="str">
        <x:v>Évolution V2.2</x:v>
      </x:c>
      <x:c r="B25" s="31" t="inlineStr">
        <x:is>
          <x:t xml:space="preserve">Ajout d’une lecture prospect : faits déclarés, difficultés précises, hypothèses à confirmer et questions de relance — sans recommandation de produit.</x:t>
        </x:is>
      </x:c>
      <x:c r="C25" s="123" t="n"/>
      <x:c r="D25" s="123" t="n"/>
      <x:c r="E25" s="123" t="n"/>
      <x:c r="F25" s="123" t="n"/>
      <x:c r="G25" s="123" t="n"/>
      <x:c r="H25" s="123" t="n"/>
    </x:row>
  </x:sheetData>
  <x:mergeCells>
    <x:mergeCell ref="A12:H12"/>
    <x:mergeCell ref="B14:H14"/>
    <x:mergeCell ref="B17:H17"/>
    <x:mergeCell ref="B18:H18"/>
    <x:mergeCell ref="B13:H13"/>
    <x:mergeCell ref="A5:H5"/>
    <x:mergeCell ref="A2:H3"/>
    <x:mergeCell ref="B24:H24"/>
    <x:mergeCell ref="B16:H16"/>
    <x:mergeCell ref="B15:H15"/>
    <x:mergeCell ref="B25:H25"/>
    <x:mergeCell ref="A1:H1"/>
    <x:mergeCell ref="B19:H19"/>
    <x:mergeCell ref="B20:H20"/>
    <x:mergeCell ref="A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.5600004196167" customWidth="1"/>
    <x:col min="2" max="2" width="29.440000534057617" customWidth="1"/>
    <x:col min="3" max="3" width="7.78000020980835" customWidth="1"/>
    <x:col min="4" max="4" width="8.329999923706055" customWidth="1"/>
    <x:col min="5" max="5" width="33.33000183105469" customWidth="1"/>
    <x:col min="6" max="6" width="9.4399995803833" customWidth="1"/>
    <x:col min="7" max="7" width="12.220000267028809" customWidth="1"/>
    <x:col min="8" max="8" width="10.5600004196167" customWidth="1"/>
    <x:col min="9" max="9" width="11.670000076293945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1.5" customHeight="1">
      <x:c r="A1" s="3" t="inlineStr">
        <x:is>
          <x:t xml:space="preserve">Simulateur de validation du scoring</x:t>
        </x:is>
      </x:c>
    </x:row>
    <x:row r="2">
      <x:c r="A2" s="7" t="inlineStr">
        <x:is>
          <x:t xml:space="preserve">Modifiez uniquement les cellules jaunes « Choix ». Le scoring reste inchangé et les réponses alimentent automatiquement la Fiche prospect.</x:t>
        </x:is>
      </x:c>
    </x:row>
    <x:row r="3">
      <x:c r="A3" s="59" t="inlineStr">
        <x:is>
          <x:t xml:space="preserve">Profil principal</x:t>
        </x:is>
      </x:c>
      <x:c r="B3" s="63" t="str">
        <x:f>INDEX($G$27:$G$34,MATCH(MAX($N$27:$N$34),$N$27:$N$34,0))</x:f>
        <x:v>Stratège</x:v>
      </x:c>
      <x:c r="C3" s="59" t="inlineStr">
        <x:is>
          <x:t xml:space="preserve">Affinité</x:t>
        </x:is>
      </x:c>
      <x:c r="D3" s="124" t="n">
        <x:f>INDEX($J$27:$J$34,MATCH($B$3,$G$27:$G$34,0))</x:f>
        <x:v>61.67</x:v>
      </x:c>
      <x:c r="E3" s="125" t="inlineStr">
        <x:is>
          <x:t xml:space="preserve">Profil secondaire</x:t>
        </x:is>
      </x:c>
      <x:c r="F3" s="124" t="str">
        <x:f>IF(AND(INDEX($J$27:$J$34,MATCH(MAX($O$27:$O$34),$O$27:$O$34,0))&gt;=55,INDEX($J$27:$J$34,MATCH(MAX($O$27:$O$34),$O$27:$O$34,0))&gt;=$D$3*90%,$D$3-INDEX($J$27:$J$34,MATCH(MAX($O$27:$O$34),$O$27:$O$34,0))&lt;=8),INDEX($G$27:$G$34,MATCH(MAX($O$27:$O$34),$O$27:$O$34,0)),"Aucun")</x:f>
        <x:v>Aucun</x:v>
      </x:c>
      <x:c r="G3" s="125" t="inlineStr">
        <x:is>
          <x:t xml:space="preserve">Pilotage interne</x:t>
        </x:is>
      </x:c>
      <x:c r="H3" s="124" t="n">
        <x:f>IFERROR(SUM($K$10:$K$23)/SUM($L$10:$L$23)*100,0)</x:f>
        <x:v>62.96296296296296</x:v>
      </x:c>
      <x:c r="I3" s="59" t="inlineStr">
        <x:is>
          <x:t xml:space="preserve">Niveau de pilotage</x:t>
        </x:is>
      </x:c>
      <x:c r="J3" s="112" t="str">
        <x:f>IF(H3&gt;=75,"Pilotage structuré",IF(H3&gt;=50,"Pilotage partiellement structuré",IF(H3&gt;=25,"Pilotage réactif","Pilotage informel")))</x:f>
        <x:v>Pilotage partiellement structuré</x:v>
      </x:c>
      <x:c r="K3" s="122" t="n"/>
      <x:c r="L3" s="122" t="n"/>
      <x:c r="M3" s="126" t="n"/>
    </x:row>
    <x:row r="5">
      <x:c r="A5" s="59" t="inlineStr">
        <x:is>
          <x:t xml:space="preserve">Rayonnement</x:t>
        </x:is>
      </x:c>
      <x:c r="B5" s="124" t="n">
        <x:f>SUM($D$50:$D$54)</x:f>
        <x:v>66.66666666666666</x:v>
      </x:c>
      <x:c r="C5" s="59" t="inlineStr">
        <x:is>
          <x:t xml:space="preserve">Niveau</x:t>
        </x:is>
      </x:c>
      <x:c r="D5" s="63" t="str">
        <x:f>IF(B5&gt;=80,"Dominant",IF(B5&gt;=60,"Challenger fort",IF(B5&gt;=40,"Acteur silencieux",IF(B5&gt;=20,"Marque fragile","Zone de disparition"))))</x:f>
        <x:v>Challenger fort</x:v>
      </x:c>
      <x:c r="E5" s="59" t="inlineStr">
        <x:is>
          <x:t xml:space="preserve">Météo</x:t>
        </x:is>
      </x:c>
      <x:c r="F5" s="63" t="str">
        <x:f>IF(B5&gt;=80,"Soleil",IF(B5&gt;=60,"Éclaircies",IF(B5&gt;=40,"Nuageux",IF(B5&gt;=20,"Pluie","Tempête"))))</x:f>
        <x:v>Éclaircies</x:v>
      </x:c>
      <x:c r="G5" s="59" t="inlineStr">
        <x:is>
          <x:t xml:space="preserve">Nuance météo</x:t>
        </x:is>
      </x:c>
      <x:c r="H5" s="127" t="str">
        <x:f>IF(B5&gt;=80,"—",IF(AND(H50-B5&lt;=5,H51&gt;=2,H52&gt;=20),"avec potentiel d’éclaircie","—"))</x:f>
        <x:v>—</x:v>
      </x:c>
      <x:c r="I5" s="122" t="n"/>
      <x:c r="J5" s="122" t="n"/>
      <x:c r="K5" s="122" t="n"/>
      <x:c r="L5" s="122" t="n"/>
      <x:c r="M5" s="126" t="n"/>
    </x:row>
    <x:row r="6">
      <x:c r="A6" s="59" t="inlineStr">
        <x:is>
          <x:t xml:space="preserve">Lecture croisée</x:t>
        </x:is>
      </x:c>
      <x:c r="B6" s="115" t="str">
        <x:f>IF(AND($H$3&gt;=60,$B$5&gt;=60),"Cohérence consolidée",IF(AND($H$3&gt;=60,$B$5&lt;60),"Potentiel sous-exploité",IF(AND($H$3&lt;60,$B$5&gt;=60),"Rayonnement sous tension","Fondations à renforcer")))</x:f>
        <x:v>Cohérence consolidée</x:v>
      </x:c>
      <x:c r="C6" s="122" t="n"/>
      <x:c r="D6" s="122" t="n"/>
      <x:c r="E6" s="126" t="n"/>
      <x:c r="F6" s="59" t="inlineStr">
        <x:is>
          <x:t xml:space="preserve">Écart R − P</x:t>
        </x:is>
      </x:c>
      <x:c r="G6" s="124" t="n">
        <x:f>B5-H3</x:f>
        <x:v>3.7037037037036953</x:v>
      </x:c>
      <x:c r="H6" s="59" t="inlineStr">
        <x:is>
          <x:t xml:space="preserve">Qualificatif</x:t>
        </x:is>
      </x:c>
      <x:c r="I6" s="115" t="str">
        <x:f>IF(ABS(G6)&lt;=15,"Cohérence relative",IF(G6&gt;15,"Le rayonnement dépasse les fondations","Les fondations dépassent le rayonnement"))</x:f>
        <x:v>Cohérence relative</x:v>
      </x:c>
      <x:c r="J6" s="122" t="n"/>
      <x:c r="K6" s="122" t="n"/>
      <x:c r="L6" s="122" t="n"/>
      <x:c r="M6" s="126" t="n"/>
    </x:row>
    <x:row r="9" ht="36" customHeight="1">
      <x:c r="A9" s="19" t="inlineStr">
        <x:is>
          <x:t xml:space="preserve">N°</x:t>
        </x:is>
      </x:c>
      <x:c r="B9" s="20" t="inlineStr">
        <x:is>
          <x:t xml:space="preserve">Question Dirigeant</x:t>
        </x:is>
      </x:c>
      <x:c r="C9" s="20" t="inlineStr">
        <x:is>
          <x:t xml:space="preserve">Choix</x:t>
        </x:is>
      </x:c>
      <x:c r="D9" s="20" t="inlineStr">
        <x:is>
          <x:t xml:space="preserve">Code</x:t>
        </x:is>
      </x:c>
      <x:c r="E9" s="20" t="inlineStr">
        <x:is>
          <x:t xml:space="preserve">Option sélectionnée</x:t>
        </x:is>
      </x:c>
      <x:c r="F9" s="20" t="inlineStr">
        <x:is>
          <x:t xml:space="preserve">Dim. +2</x:t>
        </x:is>
      </x:c>
      <x:c r="G9" s="20" t="inlineStr">
        <x:is>
          <x:t xml:space="preserve">Dim. +1</x:t>
        </x:is>
      </x:c>
      <x:c r="H9" s="20" t="inlineStr">
        <x:is>
          <x:t xml:space="preserve">Pts qual.</x:t>
        </x:is>
      </x:c>
      <x:c r="I9" s="20" t="inlineStr">
        <x:is>
          <x:t xml:space="preserve">Poids</x:t>
        </x:is>
      </x:c>
      <x:c r="J9" s="20" t="inlineStr">
        <x:is>
          <x:t xml:space="preserve">Applicable</x:t>
        </x:is>
      </x:c>
      <x:c r="K9" s="20" t="inlineStr">
        <x:is>
          <x:t xml:space="preserve">Contribution</x:t>
        </x:is>
      </x:c>
      <x:c r="L9" s="20" t="inlineStr">
        <x:is>
          <x:t xml:space="preserve">Poids app.</x:t>
        </x:is>
      </x:c>
      <x:c r="M9" s="21" t="inlineStr">
        <x:is>
          <x:t xml:space="preserve">Tag</x:t>
        </x:is>
      </x:c>
    </x:row>
    <x:row r="10" ht="36" customHeight="1">
      <x:c r="A10" s="29" t="n">
        <x:v>1</x:v>
      </x:c>
      <x:c r="B10" s="29" t="inlineStr">
        <x:is>
          <x:t xml:space="preserve">Une nouvelle opportunité se présente. Qu’est-ce qui vous pousse le plus à avancer ?</x:t>
        </x:is>
      </x:c>
      <x:c r="C10" s="105" t="inlineStr">
        <x:is>
          <x:t xml:space="preserve">B</x:t>
        </x:is>
      </x:c>
      <x:c r="D10" s="29" t="str">
        <x:f>IF(C10="","","Q"&amp;A10&amp;C10)</x:f>
        <x:v>Q1B</x:v>
      </x:c>
      <x:c r="E10" s="29" t="str">
        <x:f>IFERROR(INDEX('Dirigeant - Matrice'!$D$5:$D$60,MATCH(D10,'Dirigeant - Matrice'!$A$5:$A$60,0)),"")</x:f>
        <x:v>Je vérifie les chiffres avant de décider si elle mérite mon investissement.</x:v>
      </x:c>
      <x:c r="F10" s="29" t="str">
        <x:f>IFERROR(INDEX('Dirigeant - Matrice'!$E$5:$E$60,MATCH(D10,'Dirigeant - Matrice'!$A$5:$A$60,0)),"")</x:f>
        <x:v>STR</x:v>
      </x:c>
      <x:c r="G10" s="29" t="str">
        <x:f>IFERROR(INDEX('Dirigeant - Matrice'!$G$5:$G$60,MATCH(D10,'Dirigeant - Matrice'!$A$5:$A$60,0)),"")</x:f>
        <x:v>AUD</x:v>
      </x:c>
      <x:c r="H10" s="29" t="str">
        <x:f>IFERROR(INDEX('Dirigeant - Matrice'!$J$5:$J$60,MATCH(D10,'Dirigeant - Matrice'!$A$5:$A$60,0)),"")</x:f>
      </x:c>
      <x:c r="I10" s="29" t="n">
        <x:f>IFERROR(INDEX('Dirigeant - Matrice'!$K$5:$K$60,MATCH(D10,'Dirigeant - Matrice'!$A$5:$A$60,0)),0)</x:f>
        <x:v>0</x:v>
      </x:c>
      <x:c r="J10" s="29" t="n">
        <x:f>IFERROR(INDEX('Dirigeant - Matrice'!$L$5:$L$60,MATCH(D10,'Dirigeant - Matrice'!$A$5:$A$60,0)),0)</x:f>
        <x:v>0</x:v>
      </x:c>
      <x:c r="K10" s="29" t="n">
        <x:f>IF(OR(H10="",J10=0),0,H10/3*I10)</x:f>
        <x:v>0</x:v>
      </x:c>
      <x:c r="L10" s="29" t="n">
        <x:f>I10*J10</x:f>
        <x:v>0</x:v>
      </x:c>
      <x:c r="M10" s="29" t="str">
        <x:f>IFERROR(INDEX('Dirigeant - Matrice'!$N$5:$N$60,MATCH(D10,'Dirigeant - Matrice'!$A$5:$A$60,0)),"")&amp;IF(IFERROR(INDEX('Dirigeant - Matrice'!$P$5:$P$60,MATCH(D10,'Dirigeant - Matrice'!$A$5:$A$60,0)),"")&lt;&gt;""," | "&amp;IFERROR(INDEX('Dirigeant - Matrice'!$P$5:$P$60,MATCH(D10,'Dirigeant - Matrice'!$A$5:$A$60,0)),""),"")</x:f>
        <x:v>Chiffres</x:v>
      </x:c>
    </x:row>
    <x:row r="11" ht="36" customHeight="1">
      <x:c r="A11" s="30" t="n">
        <x:v>2</x:v>
      </x:c>
      <x:c r="B11" s="30" t="inlineStr">
        <x:is>
          <x:t xml:space="preserve">Vos ventes augmentent brusquement. Quelle devient votre première priorité ?</x:t>
        </x:is>
      </x:c>
      <x:c r="C11" s="106" t="inlineStr">
        <x:is>
          <x:t xml:space="preserve">C</x:t>
        </x:is>
      </x:c>
      <x:c r="D11" s="30" t="str">
        <x:f>IF(C11="","","Q"&amp;A11&amp;C11)</x:f>
        <x:v>Q2C</x:v>
      </x:c>
      <x:c r="E11" s="30" t="str">
        <x:f>IFERROR(INDEX('Dirigeant - Matrice'!$D$5:$D$60,MATCH(D11,'Dirigeant - Matrice'!$A$5:$A$60,0)),"")</x:f>
        <x:v>Je veille surtout à maintenir une bonne expérience pour mes clients.</x:v>
      </x:c>
      <x:c r="F11" s="30" t="str">
        <x:f>IFERROR(INDEX('Dirigeant - Matrice'!$E$5:$E$60,MATCH(D11,'Dirigeant - Matrice'!$A$5:$A$60,0)),"")</x:f>
        <x:v>INF</x:v>
      </x:c>
      <x:c r="G11" s="30" t="str">
        <x:f>IFERROR(INDEX('Dirigeant - Matrice'!$G$5:$G$60,MATCH(D11,'Dirigeant - Matrice'!$A$5:$A$60,0)),"")</x:f>
        <x:v>VIS</x:v>
      </x:c>
      <x:c r="H11" s="30" t="str">
        <x:f>IFERROR(INDEX('Dirigeant - Matrice'!$J$5:$J$60,MATCH(D11,'Dirigeant - Matrice'!$A$5:$A$60,0)),"")</x:f>
      </x:c>
      <x:c r="I11" s="30" t="n">
        <x:f>IFERROR(INDEX('Dirigeant - Matrice'!$K$5:$K$60,MATCH(D11,'Dirigeant - Matrice'!$A$5:$A$60,0)),0)</x:f>
        <x:v>0</x:v>
      </x:c>
      <x:c r="J11" s="30" t="n">
        <x:f>IFERROR(INDEX('Dirigeant - Matrice'!$L$5:$L$60,MATCH(D11,'Dirigeant - Matrice'!$A$5:$A$60,0)),0)</x:f>
        <x:v>0</x:v>
      </x:c>
      <x:c r="K11" s="30" t="n">
        <x:f>IF(OR(H11="",J11=0),0,H11/3*I11)</x:f>
        <x:v>0</x:v>
      </x:c>
      <x:c r="L11" s="30" t="n">
        <x:f>I11*J11</x:f>
        <x:v>0</x:v>
      </x:c>
      <x:c r="M11" s="30" t="str">
        <x:f>IFERROR(INDEX('Dirigeant - Matrice'!$N$5:$N$60,MATCH(D11,'Dirigeant - Matrice'!$A$5:$A$60,0)),"")&amp;IF(IFERROR(INDEX('Dirigeant - Matrice'!$P$5:$P$60,MATCH(D11,'Dirigeant - Matrice'!$A$5:$A$60,0)),"")&lt;&gt;""," | "&amp;IFERROR(INDEX('Dirigeant - Matrice'!$P$5:$P$60,MATCH(D11,'Dirigeant - Matrice'!$A$5:$A$60,0)),""),"")</x:f>
        <x:v>Préserver l’expérience client</x:v>
      </x:c>
    </x:row>
    <x:row r="12" ht="36" customHeight="1">
      <x:c r="A12" s="30" t="n">
        <x:v>3</x:v>
      </x:c>
      <x:c r="B12" s="30" t="inlineStr">
        <x:is>
          <x:t xml:space="preserve">Vous devez prendre une décision sans avoir toutes les informations. Que faites-vous ?</x:t>
        </x:is>
      </x:c>
      <x:c r="C12" s="106" t="inlineStr">
        <x:is>
          <x:t xml:space="preserve">B</x:t>
        </x:is>
      </x:c>
      <x:c r="D12" s="30" t="str">
        <x:f>IF(C12="","","Q"&amp;A12&amp;C12)</x:f>
        <x:v>Q3B</x:v>
      </x:c>
      <x:c r="E12" s="30" t="str">
        <x:f>IFERROR(INDEX('Dirigeant - Matrice'!$D$5:$D$60,MATCH(D12,'Dirigeant - Matrice'!$A$5:$A$60,0)),"")</x:f>
        <x:v>Je préfère attendre d’avoir des données plus fiables avant de me prononcer.</x:v>
      </x:c>
      <x:c r="F12" s="30" t="str">
        <x:f>IFERROR(INDEX('Dirigeant - Matrice'!$E$5:$E$60,MATCH(D12,'Dirigeant - Matrice'!$A$5:$A$60,0)),"")</x:f>
        <x:v>STR</x:v>
      </x:c>
      <x:c r="G12" s="30" t="str">
        <x:f>IFERROR(INDEX('Dirigeant - Matrice'!$G$5:$G$60,MATCH(D12,'Dirigeant - Matrice'!$A$5:$A$60,0)),"")</x:f>
        <x:v>ORG</x:v>
      </x:c>
      <x:c r="H12" s="30" t="str">
        <x:f>IFERROR(INDEX('Dirigeant - Matrice'!$J$5:$J$60,MATCH(D12,'Dirigeant - Matrice'!$A$5:$A$60,0)),"")</x:f>
      </x:c>
      <x:c r="I12" s="30" t="n">
        <x:f>IFERROR(INDEX('Dirigeant - Matrice'!$K$5:$K$60,MATCH(D12,'Dirigeant - Matrice'!$A$5:$A$60,0)),0)</x:f>
        <x:v>0</x:v>
      </x:c>
      <x:c r="J12" s="30" t="n">
        <x:f>IFERROR(INDEX('Dirigeant - Matrice'!$L$5:$L$60,MATCH(D12,'Dirigeant - Matrice'!$A$5:$A$60,0)),0)</x:f>
        <x:v>0</x:v>
      </x:c>
      <x:c r="K12" s="30" t="n">
        <x:f>IF(OR(H12="",J12=0),0,H12/3*I12)</x:f>
        <x:v>0</x:v>
      </x:c>
      <x:c r="L12" s="30" t="n">
        <x:f>I12*J12</x:f>
        <x:v>0</x:v>
      </x:c>
      <x:c r="M12" s="30" t="str">
        <x:f>IFERROR(INDEX('Dirigeant - Matrice'!$N$5:$N$60,MATCH(D12,'Dirigeant - Matrice'!$A$5:$A$60,0)),"")&amp;IF(IFERROR(INDEX('Dirigeant - Matrice'!$P$5:$P$60,MATCH(D12,'Dirigeant - Matrice'!$A$5:$A$60,0)),"")&lt;&gt;""," | "&amp;IFERROR(INDEX('Dirigeant - Matrice'!$P$5:$P$60,MATCH(D12,'Dirigeant - Matrice'!$A$5:$A$60,0)),""),"")</x:f>
        <x:v>Données</x:v>
      </x:c>
    </x:row>
    <x:row r="13" ht="36" customHeight="1">
      <x:c r="A13" s="30" t="n">
        <x:v>4</x:v>
      </x:c>
      <x:c r="B13" s="30" t="inlineStr">
        <x:is>
          <x:t xml:space="preserve">Comment suivez-vous généralement les ventes réalisées au cours d’une semaine ?</x:t>
        </x:is>
      </x:c>
      <x:c r="C13" s="106" t="inlineStr">
        <x:is>
          <x:t xml:space="preserve">A</x:t>
        </x:is>
      </x:c>
      <x:c r="D13" s="30" t="str">
        <x:f>IF(C13="","","Q"&amp;A13&amp;C13)</x:f>
        <x:v>Q4A</x:v>
      </x:c>
      <x:c r="E13" s="30" t="str">
        <x:f>IFERROR(INDEX('Dirigeant - Matrice'!$D$5:$D$60,MATCH(D13,'Dirigeant - Matrice'!$A$5:$A$60,0)),"")</x:f>
        <x:v>Je consulte régulièrement un outil qui centralise toutes mes ventes.</x:v>
      </x:c>
      <x:c r="F13" s="30" t="str">
        <x:f>IFERROR(INDEX('Dirigeant - Matrice'!$E$5:$E$60,MATCH(D13,'Dirigeant - Matrice'!$A$5:$A$60,0)),"")</x:f>
        <x:v>TRA</x:v>
      </x:c>
      <x:c r="G13" s="30" t="str">
        <x:f>IFERROR(INDEX('Dirigeant - Matrice'!$G$5:$G$60,MATCH(D13,'Dirigeant - Matrice'!$A$5:$A$60,0)),"")</x:f>
        <x:v>STR</x:v>
      </x:c>
      <x:c r="H13" s="30" t="n">
        <x:f>IFERROR(INDEX('Dirigeant - Matrice'!$J$5:$J$60,MATCH(D13,'Dirigeant - Matrice'!$A$5:$A$60,0)),"")</x:f>
        <x:v>3</x:v>
      </x:c>
      <x:c r="I13" s="30" t="n">
        <x:f>IFERROR(INDEX('Dirigeant - Matrice'!$K$5:$K$60,MATCH(D13,'Dirigeant - Matrice'!$A$5:$A$60,0)),0)</x:f>
        <x:v>10</x:v>
      </x:c>
      <x:c r="J13" s="30" t="n">
        <x:f>IFERROR(INDEX('Dirigeant - Matrice'!$L$5:$L$60,MATCH(D13,'Dirigeant - Matrice'!$A$5:$A$60,0)),0)</x:f>
        <x:v>1</x:v>
      </x:c>
      <x:c r="K13" s="30" t="n">
        <x:f>IF(OR(H13="",J13=0),0,H13/3*I13)</x:f>
        <x:v>10</x:v>
      </x:c>
      <x:c r="L13" s="30" t="n">
        <x:f>I13*J13</x:f>
        <x:v>10</x:v>
      </x:c>
      <x:c r="M13" s="30" t="str">
        <x:f>IFERROR(INDEX('Dirigeant - Matrice'!$N$5:$N$60,MATCH(D13,'Dirigeant - Matrice'!$A$5:$A$60,0)),"")&amp;IF(IFERROR(INDEX('Dirigeant - Matrice'!$P$5:$P$60,MATCH(D13,'Dirigeant - Matrice'!$A$5:$A$60,0)),"")&lt;&gt;""," | "&amp;IFERROR(INDEX('Dirigeant - Matrice'!$P$5:$P$60,MATCH(D13,'Dirigeant - Matrice'!$A$5:$A$60,0)),""),"")</x:f>
        <x:v>Outil centralisé</x:v>
      </x:c>
    </x:row>
    <x:row r="14" ht="36" customHeight="1">
      <x:c r="A14" s="30" t="n">
        <x:v>5</x:v>
      </x:c>
      <x:c r="B14" s="30" t="inlineStr">
        <x:is>
          <x:t xml:space="preserve">Le montant encaissé ne correspond pas aux ventes réalisées. Quel est votre premier réflexe ?</x:t>
        </x:is>
      </x:c>
      <x:c r="C14" s="106" t="inlineStr">
        <x:is>
          <x:t xml:space="preserve">D</x:t>
        </x:is>
      </x:c>
      <x:c r="D14" s="30" t="str">
        <x:f>IF(C14="","","Q"&amp;A14&amp;C14)</x:f>
        <x:v>Q5D</x:v>
      </x:c>
      <x:c r="E14" s="30" t="str">
        <x:f>IFERROR(INDEX('Dirigeant - Matrice'!$D$5:$D$60,MATCH(D14,'Dirigeant - Matrice'!$A$5:$A$60,0)),"")</x:f>
        <x:v>Je n’ai pas toujours les éléments nécessaires pour expliquer immédiatement l’écart.</x:v>
      </x:c>
      <x:c r="F14" s="30" t="str">
        <x:f>IFERROR(INDEX('Dirigeant - Matrice'!$E$5:$E$60,MATCH(D14,'Dirigeant - Matrice'!$A$5:$A$60,0)),"")</x:f>
        <x:v>ADA</x:v>
      </x:c>
      <x:c r="G14" s="30" t="str">
        <x:f>IFERROR(INDEX('Dirigeant - Matrice'!$G$5:$G$60,MATCH(D14,'Dirigeant - Matrice'!$A$5:$A$60,0)),"")</x:f>
        <x:v>AUD</x:v>
      </x:c>
      <x:c r="H14" s="30" t="n">
        <x:f>IFERROR(INDEX('Dirigeant - Matrice'!$J$5:$J$60,MATCH(D14,'Dirigeant - Matrice'!$A$5:$A$60,0)),"")</x:f>
        <x:v>0</x:v>
      </x:c>
      <x:c r="I14" s="30" t="n">
        <x:f>IFERROR(INDEX('Dirigeant - Matrice'!$K$5:$K$60,MATCH(D14,'Dirigeant - Matrice'!$A$5:$A$60,0)),0)</x:f>
        <x:v>15</x:v>
      </x:c>
      <x:c r="J14" s="30" t="n">
        <x:f>IFERROR(INDEX('Dirigeant - Matrice'!$L$5:$L$60,MATCH(D14,'Dirigeant - Matrice'!$A$5:$A$60,0)),0)</x:f>
        <x:v>1</x:v>
      </x:c>
      <x:c r="K14" s="30" t="n">
        <x:f>IF(OR(H14="",J14=0),0,H14/3*I14)</x:f>
        <x:v>0</x:v>
      </x:c>
      <x:c r="L14" s="30" t="n">
        <x:f>I14*J14</x:f>
        <x:v>15</x:v>
      </x:c>
      <x:c r="M14" s="30" t="str">
        <x:f>IFERROR(INDEX('Dirigeant - Matrice'!$N$5:$N$60,MATCH(D14,'Dirigeant - Matrice'!$A$5:$A$60,0)),"")&amp;IF(IFERROR(INDEX('Dirigeant - Matrice'!$P$5:$P$60,MATCH(D14,'Dirigeant - Matrice'!$A$5:$A$60,0)),"")&lt;&gt;""," | "&amp;IFERROR(INDEX('Dirigeant - Matrice'!$P$5:$P$60,MATCH(D14,'Dirigeant - Matrice'!$A$5:$A$60,0)),""),"")</x:f>
        <x:v>Écart difficile à expliquer</x:v>
      </x:c>
    </x:row>
    <x:row r="15" ht="36" customHeight="1">
      <x:c r="A15" s="30" t="n">
        <x:v>6</x:v>
      </x:c>
      <x:c r="B15" s="30" t="inlineStr">
        <x:is>
          <x:t xml:space="preserve">Vos clients utilisent plusieurs moyens de paiement. Comment gardez-vous une vue d’ensemble ?</x:t>
        </x:is>
      </x:c>
      <x:c r="C15" s="106" t="inlineStr">
        <x:is>
          <x:t xml:space="preserve">B</x:t>
        </x:is>
      </x:c>
      <x:c r="D15" s="30" t="str">
        <x:f>IF(C15="","","Q"&amp;A15&amp;C15)</x:f>
        <x:v>Q6B</x:v>
      </x:c>
      <x:c r="E15" s="30" t="str">
        <x:f>IFERROR(INDEX('Dirigeant - Matrice'!$D$5:$D$60,MATCH(D15,'Dirigeant - Matrice'!$A$5:$A$60,0)),"")</x:f>
        <x:v>Je vérifie séparément le solde de chaque moyen de paiement.</x:v>
      </x:c>
      <x:c r="F15" s="30" t="str">
        <x:f>IFERROR(INDEX('Dirigeant - Matrice'!$E$5:$E$60,MATCH(D15,'Dirigeant - Matrice'!$A$5:$A$60,0)),"")</x:f>
        <x:v>STR</x:v>
      </x:c>
      <x:c r="G15" s="30" t="str">
        <x:f>IFERROR(INDEX('Dirigeant - Matrice'!$G$5:$G$60,MATCH(D15,'Dirigeant - Matrice'!$A$5:$A$60,0)),"")</x:f>
        <x:v>ORG</x:v>
      </x:c>
      <x:c r="H15" s="30" t="n">
        <x:f>IFERROR(INDEX('Dirigeant - Matrice'!$J$5:$J$60,MATCH(D15,'Dirigeant - Matrice'!$A$5:$A$60,0)),"")</x:f>
        <x:v>2</x:v>
      </x:c>
      <x:c r="I15" s="30" t="n">
        <x:f>IFERROR(INDEX('Dirigeant - Matrice'!$K$5:$K$60,MATCH(D15,'Dirigeant - Matrice'!$A$5:$A$60,0)),0)</x:f>
        <x:v>15</x:v>
      </x:c>
      <x:c r="J15" s="30" t="n">
        <x:f>IFERROR(INDEX('Dirigeant - Matrice'!$L$5:$L$60,MATCH(D15,'Dirigeant - Matrice'!$A$5:$A$60,0)),0)</x:f>
        <x:v>1</x:v>
      </x:c>
      <x:c r="K15" s="30" t="n">
        <x:f>IF(OR(H15="",J15=0),0,H15/3*I15)</x:f>
        <x:v>10</x:v>
      </x:c>
      <x:c r="L15" s="30" t="n">
        <x:f>I15*J15</x:f>
        <x:v>15</x:v>
      </x:c>
      <x:c r="M15" s="30" t="str">
        <x:f>IFERROR(INDEX('Dirigeant - Matrice'!$N$5:$N$60,MATCH(D15,'Dirigeant - Matrice'!$A$5:$A$60,0)),"")&amp;IF(IFERROR(INDEX('Dirigeant - Matrice'!$P$5:$P$60,MATCH(D15,'Dirigeant - Matrice'!$A$5:$A$60,0)),"")&lt;&gt;""," | "&amp;IFERROR(INDEX('Dirigeant - Matrice'!$P$5:$P$60,MATCH(D15,'Dirigeant - Matrice'!$A$5:$A$60,0)),""),"")</x:f>
        <x:v>Consultation séparée</x:v>
      </x:c>
    </x:row>
    <x:row r="16" ht="36" customHeight="1">
      <x:c r="A16" s="30" t="n">
        <x:v>7</x:v>
      </x:c>
      <x:c r="B16" s="30" t="inlineStr">
        <x:is>
          <x:t xml:space="preserve">À quel moment savez-vous réellement ce que votre entreprise peut dépenser ?</x:t>
        </x:is>
      </x:c>
      <x:c r="C16" s="106" t="inlineStr">
        <x:is>
          <x:t xml:space="preserve">A</x:t>
        </x:is>
      </x:c>
      <x:c r="D16" s="30" t="str">
        <x:f>IF(C16="","","Q"&amp;A16&amp;C16)</x:f>
        <x:v>Q7A</x:v>
      </x:c>
      <x:c r="E16" s="30" t="str">
        <x:f>IFERROR(INDEX('Dirigeant - Matrice'!$D$5:$D$60,MATCH(D16,'Dirigeant - Matrice'!$A$5:$A$60,0)),"")</x:f>
        <x:v>Je peux consulter ma trésorerie disponible à tout moment.</x:v>
      </x:c>
      <x:c r="F16" s="30" t="str">
        <x:f>IFERROR(INDEX('Dirigeant - Matrice'!$E$5:$E$60,MATCH(D16,'Dirigeant - Matrice'!$A$5:$A$60,0)),"")</x:f>
        <x:v>STR</x:v>
      </x:c>
      <x:c r="G16" s="30" t="str">
        <x:f>IFERROR(INDEX('Dirigeant - Matrice'!$G$5:$G$60,MATCH(D16,'Dirigeant - Matrice'!$A$5:$A$60,0)),"")</x:f>
        <x:v>VIS</x:v>
      </x:c>
      <x:c r="H16" s="30" t="n">
        <x:f>IFERROR(INDEX('Dirigeant - Matrice'!$J$5:$J$60,MATCH(D16,'Dirigeant - Matrice'!$A$5:$A$60,0)),"")</x:f>
        <x:v>3</x:v>
      </x:c>
      <x:c r="I16" s="30" t="n">
        <x:f>IFERROR(INDEX('Dirigeant - Matrice'!$K$5:$K$60,MATCH(D16,'Dirigeant - Matrice'!$A$5:$A$60,0)),0)</x:f>
        <x:v>15</x:v>
      </x:c>
      <x:c r="J16" s="30" t="n">
        <x:f>IFERROR(INDEX('Dirigeant - Matrice'!$L$5:$L$60,MATCH(D16,'Dirigeant - Matrice'!$A$5:$A$60,0)),0)</x:f>
        <x:v>1</x:v>
      </x:c>
      <x:c r="K16" s="30" t="n">
        <x:f>IF(OR(H16="",J16=0),0,H16/3*I16)</x:f>
        <x:v>15</x:v>
      </x:c>
      <x:c r="L16" s="30" t="n">
        <x:f>I16*J16</x:f>
        <x:v>15</x:v>
      </x:c>
      <x:c r="M16" s="30" t="str">
        <x:f>IFERROR(INDEX('Dirigeant - Matrice'!$N$5:$N$60,MATCH(D16,'Dirigeant - Matrice'!$A$5:$A$60,0)),"")&amp;IF(IFERROR(INDEX('Dirigeant - Matrice'!$P$5:$P$60,MATCH(D16,'Dirigeant - Matrice'!$A$5:$A$60,0)),"")&lt;&gt;""," | "&amp;IFERROR(INDEX('Dirigeant - Matrice'!$P$5:$P$60,MATCH(D16,'Dirigeant - Matrice'!$A$5:$A$60,0)),""),"")</x:f>
        <x:v>Temps réel</x:v>
      </x:c>
    </x:row>
    <x:row r="17" ht="36" customHeight="1">
      <x:c r="A17" s="30" t="n">
        <x:v>8</x:v>
      </x:c>
      <x:c r="B17" s="30" t="inlineStr">
        <x:is>
          <x:t xml:space="preserve">Lorsque vient le moment de faire la comptabilité, dans quel état se trouvent vos informations ?</x:t>
        </x:is>
      </x:c>
      <x:c r="C17" s="106" t="inlineStr">
        <x:is>
          <x:t xml:space="preserve">D</x:t>
        </x:is>
      </x:c>
      <x:c r="D17" s="30" t="str">
        <x:f>IF(C17="","","Q"&amp;A17&amp;C17)</x:f>
        <x:v>Q8D</x:v>
      </x:c>
      <x:c r="E17" s="30" t="str">
        <x:f>IFERROR(INDEX('Dirigeant - Matrice'!$D$5:$D$60,MATCH(D17,'Dirigeant - Matrice'!$A$5:$A$60,0)),"")</x:f>
        <x:v>Je dois souvent reconstituer certaines opérations après leur réalisation.</x:v>
      </x:c>
      <x:c r="F17" s="30" t="str">
        <x:f>IFERROR(INDEX('Dirigeant - Matrice'!$E$5:$E$60,MATCH(D17,'Dirigeant - Matrice'!$A$5:$A$60,0)),"")</x:f>
        <x:v>ADA</x:v>
      </x:c>
      <x:c r="G17" s="30" t="str">
        <x:f>IFERROR(INDEX('Dirigeant - Matrice'!$G$5:$G$60,MATCH(D17,'Dirigeant - Matrice'!$A$5:$A$60,0)),"")</x:f>
        <x:v>AUD</x:v>
      </x:c>
      <x:c r="H17" s="30" t="n">
        <x:f>IFERROR(INDEX('Dirigeant - Matrice'!$J$5:$J$60,MATCH(D17,'Dirigeant - Matrice'!$A$5:$A$60,0)),"")</x:f>
        <x:v>0</x:v>
      </x:c>
      <x:c r="I17" s="30" t="n">
        <x:f>IFERROR(INDEX('Dirigeant - Matrice'!$K$5:$K$60,MATCH(D17,'Dirigeant - Matrice'!$A$5:$A$60,0)),0)</x:f>
        <x:v>10</x:v>
      </x:c>
      <x:c r="J17" s="30" t="n">
        <x:f>IFERROR(INDEX('Dirigeant - Matrice'!$L$5:$L$60,MATCH(D17,'Dirigeant - Matrice'!$A$5:$A$60,0)),0)</x:f>
        <x:v>1</x:v>
      </x:c>
      <x:c r="K17" s="30" t="n">
        <x:f>IF(OR(H17="",J17=0),0,H17/3*I17)</x:f>
        <x:v>0</x:v>
      </x:c>
      <x:c r="L17" s="30" t="n">
        <x:f>I17*J17</x:f>
        <x:v>10</x:v>
      </x:c>
      <x:c r="M17" s="30" t="str">
        <x:f>IFERROR(INDEX('Dirigeant - Matrice'!$N$5:$N$60,MATCH(D17,'Dirigeant - Matrice'!$A$5:$A$60,0)),"")&amp;IF(IFERROR(INDEX('Dirigeant - Matrice'!$P$5:$P$60,MATCH(D17,'Dirigeant - Matrice'!$A$5:$A$60,0)),"")&lt;&gt;""," | "&amp;IFERROR(INDEX('Dirigeant - Matrice'!$P$5:$P$60,MATCH(D17,'Dirigeant - Matrice'!$A$5:$A$60,0)),""),"")</x:f>
        <x:v>Reconstitution après coup</x:v>
      </x:c>
    </x:row>
    <x:row r="18" ht="36" customHeight="1">
      <x:c r="A18" s="30" t="n">
        <x:v>9</x:v>
      </x:c>
      <x:c r="B18" s="30" t="inlineStr">
        <x:is>
          <x:t xml:space="preserve">Lorsque d’autres personnes encaissent pour votre entreprise, comment suivez-vous leur activité ?</x:t>
        </x:is>
      </x:c>
      <x:c r="C18" s="106" t="inlineStr">
        <x:is>
          <x:t xml:space="preserve">D</x:t>
        </x:is>
      </x:c>
      <x:c r="D18" s="30" t="str">
        <x:f>IF(C18="","","Q"&amp;A18&amp;C18)</x:f>
        <x:v>Q9D</x:v>
      </x:c>
      <x:c r="E18" s="30" t="str">
        <x:f>IFERROR(INDEX('Dirigeant - Matrice'!$D$5:$D$60,MATCH(D18,'Dirigeant - Matrice'!$A$5:$A$60,0)),"")</x:f>
        <x:v>Pour le moment, je suis la seule personne à encaisser dans mon entreprise.</x:v>
      </x:c>
      <x:c r="F18" s="30" t="str">
        <x:f>IFERROR(INDEX('Dirigeant - Matrice'!$E$5:$E$60,MATCH(D18,'Dirigeant - Matrice'!$A$5:$A$60,0)),"")</x:f>
        <x:v>AUD</x:v>
      </x:c>
      <x:c r="G18" s="30" t="str">
        <x:f>IFERROR(INDEX('Dirigeant - Matrice'!$G$5:$G$60,MATCH(D18,'Dirigeant - Matrice'!$A$5:$A$60,0)),"")</x:f>
        <x:v>EXE</x:v>
      </x:c>
      <x:c r="H18" s="30" t="str">
        <x:f>IFERROR(INDEX('Dirigeant - Matrice'!$J$5:$J$60,MATCH(D18,'Dirigeant - Matrice'!$A$5:$A$60,0)),"")</x:f>
      </x:c>
      <x:c r="I18" s="30" t="n">
        <x:f>IFERROR(INDEX('Dirigeant - Matrice'!$K$5:$K$60,MATCH(D18,'Dirigeant - Matrice'!$A$5:$A$60,0)),0)</x:f>
        <x:v>10</x:v>
      </x:c>
      <x:c r="J18" s="30" t="n">
        <x:f>IFERROR(INDEX('Dirigeant - Matrice'!$L$5:$L$60,MATCH(D18,'Dirigeant - Matrice'!$A$5:$A$60,0)),0)</x:f>
        <x:v>0</x:v>
      </x:c>
      <x:c r="K18" s="30" t="n">
        <x:f>IF(OR(H18="",J18=0),0,H18/3*I18)</x:f>
        <x:v>0</x:v>
      </x:c>
      <x:c r="L18" s="30" t="n">
        <x:f>I18*J18</x:f>
        <x:v>0</x:v>
      </x:c>
      <x:c r="M18" s="30" t="str">
        <x:f>IFERROR(INDEX('Dirigeant - Matrice'!$N$5:$N$60,MATCH(D18,'Dirigeant - Matrice'!$A$5:$A$60,0)),"")&amp;IF(IFERROR(INDEX('Dirigeant - Matrice'!$P$5:$P$60,MATCH(D18,'Dirigeant - Matrice'!$A$5:$A$60,0)),"")&lt;&gt;""," | "&amp;IFERROR(INDEX('Dirigeant - Matrice'!$P$5:$P$60,MATCH(D18,'Dirigeant - Matrice'!$A$5:$A$60,0)),""),"")</x:f>
        <x:v>Encaissement en solo | Solo</x:v>
      </x:c>
    </x:row>
    <x:row r="19" ht="36" customHeight="1">
      <x:c r="A19" s="30" t="n">
        <x:v>10</x:v>
      </x:c>
      <x:c r="B19" s="30" t="inlineStr">
        <x:is>
          <x:t xml:space="preserve">Lorsqu’un client souhaite vous payer à distance, comment procédez-vous généralement ?</x:t>
        </x:is>
      </x:c>
      <x:c r="C19" s="106" t="inlineStr">
        <x:is>
          <x:t xml:space="preserve">B</x:t>
        </x:is>
      </x:c>
      <x:c r="D19" s="30" t="str">
        <x:f>IF(C19="","","Q"&amp;A19&amp;C19)</x:f>
        <x:v>Q10B</x:v>
      </x:c>
      <x:c r="E19" s="30" t="str">
        <x:f>IFERROR(INDEX('Dirigeant - Matrice'!$D$5:$D$60,MATCH(D19,'Dirigeant - Matrice'!$A$5:$A$60,0)),"")</x:f>
        <x:v>Je lui communique un numéro après avoir échangé avec lui.</x:v>
      </x:c>
      <x:c r="F19" s="30" t="str">
        <x:f>IFERROR(INDEX('Dirigeant - Matrice'!$E$5:$E$60,MATCH(D19,'Dirigeant - Matrice'!$A$5:$A$60,0)),"")</x:f>
        <x:v>ADA</x:v>
      </x:c>
      <x:c r="G19" s="30" t="str">
        <x:f>IFERROR(INDEX('Dirigeant - Matrice'!$G$5:$G$60,MATCH(D19,'Dirigeant - Matrice'!$A$5:$A$60,0)),"")</x:f>
        <x:v>INF</x:v>
      </x:c>
      <x:c r="H19" s="30" t="n">
        <x:f>IFERROR(INDEX('Dirigeant - Matrice'!$J$5:$J$60,MATCH(D19,'Dirigeant - Matrice'!$A$5:$A$60,0)),"")</x:f>
        <x:v>2</x:v>
      </x:c>
      <x:c r="I19" s="30" t="n">
        <x:f>IFERROR(INDEX('Dirigeant - Matrice'!$K$5:$K$60,MATCH(D19,'Dirigeant - Matrice'!$A$5:$A$60,0)),0)</x:f>
        <x:v>10</x:v>
      </x:c>
      <x:c r="J19" s="30" t="n">
        <x:f>IFERROR(INDEX('Dirigeant - Matrice'!$L$5:$L$60,MATCH(D19,'Dirigeant - Matrice'!$A$5:$A$60,0)),0)</x:f>
        <x:v>1</x:v>
      </x:c>
      <x:c r="K19" s="30" t="n">
        <x:f>IF(OR(H19="",J19=0),0,H19/3*I19)</x:f>
        <x:v>6.666666666666666</x:v>
      </x:c>
      <x:c r="L19" s="30" t="n">
        <x:f>I19*J19</x:f>
        <x:v>10</x:v>
      </x:c>
      <x:c r="M19" s="30" t="str">
        <x:f>IFERROR(INDEX('Dirigeant - Matrice'!$N$5:$N$60,MATCH(D19,'Dirigeant - Matrice'!$A$5:$A$60,0)),"")&amp;IF(IFERROR(INDEX('Dirigeant - Matrice'!$P$5:$P$60,MATCH(D19,'Dirigeant - Matrice'!$A$5:$A$60,0)),"")&lt;&gt;""," | "&amp;IFERROR(INDEX('Dirigeant - Matrice'!$P$5:$P$60,MATCH(D19,'Dirigeant - Matrice'!$A$5:$A$60,0)),""),"")</x:f>
        <x:v>Numéro communiqué</x:v>
      </x:c>
    </x:row>
    <x:row r="20" ht="36" customHeight="1">
      <x:c r="A20" s="30" t="n">
        <x:v>11</x:v>
      </x:c>
      <x:c r="B20" s="30" t="inlineStr">
        <x:is>
          <x:t xml:space="preserve">Quelle place le digital occupe-t-il actuellement dans vos ventes ?</x:t>
        </x:is>
      </x:c>
      <x:c r="C20" s="106" t="inlineStr">
        <x:is>
          <x:t xml:space="preserve">C</x:t>
        </x:is>
      </x:c>
      <x:c r="D20" s="30" t="str">
        <x:f>IF(C20="","","Q"&amp;A20&amp;C20)</x:f>
        <x:v>Q11C</x:v>
      </x:c>
      <x:c r="E20" s="30" t="str">
        <x:f>IFERROR(INDEX('Dirigeant - Matrice'!$D$5:$D$60,MATCH(D20,'Dirigeant - Matrice'!$A$5:$A$60,0)),"")</x:f>
        <x:v>Je vends principalement à travers les réseaux sociaux et les messageries.</x:v>
      </x:c>
      <x:c r="F20" s="30" t="str">
        <x:f>IFERROR(INDEX('Dirigeant - Matrice'!$E$5:$E$60,MATCH(D20,'Dirigeant - Matrice'!$A$5:$A$60,0)),"")</x:f>
        <x:v>ADA</x:v>
      </x:c>
      <x:c r="G20" s="30" t="str">
        <x:f>IFERROR(INDEX('Dirigeant - Matrice'!$G$5:$G$60,MATCH(D20,'Dirigeant - Matrice'!$A$5:$A$60,0)),"")</x:f>
        <x:v>INF</x:v>
      </x:c>
      <x:c r="H20" s="30" t="str">
        <x:f>IFERROR(INDEX('Dirigeant - Matrice'!$J$5:$J$60,MATCH(D20,'Dirigeant - Matrice'!$A$5:$A$60,0)),"")</x:f>
      </x:c>
      <x:c r="I20" s="30" t="n">
        <x:f>IFERROR(INDEX('Dirigeant - Matrice'!$K$5:$K$60,MATCH(D20,'Dirigeant - Matrice'!$A$5:$A$60,0)),0)</x:f>
        <x:v>0</x:v>
      </x:c>
      <x:c r="J20" s="30" t="n">
        <x:f>IFERROR(INDEX('Dirigeant - Matrice'!$L$5:$L$60,MATCH(D20,'Dirigeant - Matrice'!$A$5:$A$60,0)),0)</x:f>
        <x:v>0</x:v>
      </x:c>
      <x:c r="K20" s="30" t="n">
        <x:f>IF(OR(H20="",J20=0),0,H20/3*I20)</x:f>
        <x:v>0</x:v>
      </x:c>
      <x:c r="L20" s="30" t="n">
        <x:f>I20*J20</x:f>
        <x:v>0</x:v>
      </x:c>
      <x:c r="M20" s="30" t="str">
        <x:f>IFERROR(INDEX('Dirigeant - Matrice'!$N$5:$N$60,MATCH(D20,'Dirigeant - Matrice'!$A$5:$A$60,0)),"")&amp;IF(IFERROR(INDEX('Dirigeant - Matrice'!$P$5:$P$60,MATCH(D20,'Dirigeant - Matrice'!$A$5:$A$60,0)),"")&lt;&gt;""," | "&amp;IFERROR(INDEX('Dirigeant - Matrice'!$P$5:$P$60,MATCH(D20,'Dirigeant - Matrice'!$A$5:$A$60,0)),""),"")</x:f>
        <x:v>Social commerce | Conversationnel</x:v>
      </x:c>
    </x:row>
    <x:row r="21" ht="36" customHeight="1">
      <x:c r="A21" s="30" t="n">
        <x:v>12</x:v>
      </x:c>
      <x:c r="B21" s="30" t="inlineStr">
        <x:is>
          <x:t xml:space="preserve">Un client affirme avoir payé, mais vous ne retrouvez pas immédiatement son paiement. Que faites-vous ?</x:t>
        </x:is>
      </x:c>
      <x:c r="C21" s="106" t="inlineStr">
        <x:is>
          <x:t xml:space="preserve">A</x:t>
        </x:is>
      </x:c>
      <x:c r="D21" s="30" t="str">
        <x:f>IF(C21="","","Q"&amp;A21&amp;C21)</x:f>
        <x:v>Q12A</x:v>
      </x:c>
      <x:c r="E21" s="30" t="str">
        <x:f>IFERROR(INDEX('Dirigeant - Matrice'!$D$5:$D$60,MATCH(D21,'Dirigeant - Matrice'!$A$5:$A$60,0)),"")</x:f>
        <x:v>Je recherche la transaction à partir de sa référence.</x:v>
      </x:c>
      <x:c r="F21" s="30" t="str">
        <x:f>IFERROR(INDEX('Dirigeant - Matrice'!$E$5:$E$60,MATCH(D21,'Dirigeant - Matrice'!$A$5:$A$60,0)),"")</x:f>
        <x:v>STR</x:v>
      </x:c>
      <x:c r="G21" s="30" t="str">
        <x:f>IFERROR(INDEX('Dirigeant - Matrice'!$G$5:$G$60,MATCH(D21,'Dirigeant - Matrice'!$A$5:$A$60,0)),"")</x:f>
        <x:v>TRA</x:v>
      </x:c>
      <x:c r="H21" s="30" t="n">
        <x:f>IFERROR(INDEX('Dirigeant - Matrice'!$J$5:$J$60,MATCH(D21,'Dirigeant - Matrice'!$A$5:$A$60,0)),"")</x:f>
        <x:v>3</x:v>
      </x:c>
      <x:c r="I21" s="30" t="n">
        <x:f>IFERROR(INDEX('Dirigeant - Matrice'!$K$5:$K$60,MATCH(D21,'Dirigeant - Matrice'!$A$5:$A$60,0)),0)</x:f>
        <x:v>15</x:v>
      </x:c>
      <x:c r="J21" s="30" t="n">
        <x:f>IFERROR(INDEX('Dirigeant - Matrice'!$L$5:$L$60,MATCH(D21,'Dirigeant - Matrice'!$A$5:$A$60,0)),0)</x:f>
        <x:v>1</x:v>
      </x:c>
      <x:c r="K21" s="30" t="n">
        <x:f>IF(OR(H21="",J21=0),0,H21/3*I21)</x:f>
        <x:v>15</x:v>
      </x:c>
      <x:c r="L21" s="30" t="n">
        <x:f>I21*J21</x:f>
        <x:v>15</x:v>
      </x:c>
      <x:c r="M21" s="30" t="str">
        <x:f>IFERROR(INDEX('Dirigeant - Matrice'!$N$5:$N$60,MATCH(D21,'Dirigeant - Matrice'!$A$5:$A$60,0)),"")&amp;IF(IFERROR(INDEX('Dirigeant - Matrice'!$P$5:$P$60,MATCH(D21,'Dirigeant - Matrice'!$A$5:$A$60,0)),"")&lt;&gt;""," | "&amp;IFERROR(INDEX('Dirigeant - Matrice'!$P$5:$P$60,MATCH(D21,'Dirigeant - Matrice'!$A$5:$A$60,0)),""),"")</x:f>
        <x:v>Recherche par référence</x:v>
      </x:c>
    </x:row>
    <x:row r="22" ht="36" customHeight="1">
      <x:c r="A22" s="30" t="n">
        <x:v>13</x:v>
      </x:c>
      <x:c r="B22" s="30" t="inlineStr">
        <x:is>
          <x:t xml:space="preserve">Avant d’adopter un nouvel outil pour votre entreprise, qu’est-ce qui compte le plus pour vous ?</x:t>
        </x:is>
      </x:c>
      <x:c r="C22" s="106" t="inlineStr">
        <x:is>
          <x:t xml:space="preserve">D</x:t>
        </x:is>
      </x:c>
      <x:c r="D22" s="30" t="str">
        <x:f>IF(C22="","","Q"&amp;A22&amp;C22)</x:f>
        <x:v>Q13D</x:v>
      </x:c>
      <x:c r="E22" s="30" t="str">
        <x:f>IFERROR(INDEX('Dirigeant - Matrice'!$D$5:$D$60,MATCH(D22,'Dirigeant - Matrice'!$A$5:$A$60,0)),"")</x:f>
        <x:v>Je préfère attendre que le besoin devienne vraiment urgent avant de changer.</x:v>
      </x:c>
      <x:c r="F22" s="30" t="str">
        <x:f>IFERROR(INDEX('Dirigeant - Matrice'!$E$5:$E$60,MATCH(D22,'Dirigeant - Matrice'!$A$5:$A$60,0)),"")</x:f>
        <x:v>STR</x:v>
      </x:c>
      <x:c r="G22" s="30" t="str">
        <x:f>IFERROR(INDEX('Dirigeant - Matrice'!$G$5:$G$60,MATCH(D22,'Dirigeant - Matrice'!$A$5:$A$60,0)),"")</x:f>
        <x:v>ORG</x:v>
      </x:c>
      <x:c r="H22" s="30" t="str">
        <x:f>IFERROR(INDEX('Dirigeant - Matrice'!$J$5:$J$60,MATCH(D22,'Dirigeant - Matrice'!$A$5:$A$60,0)),"")</x:f>
      </x:c>
      <x:c r="I22" s="30" t="n">
        <x:f>IFERROR(INDEX('Dirigeant - Matrice'!$K$5:$K$60,MATCH(D22,'Dirigeant - Matrice'!$A$5:$A$60,0)),0)</x:f>
        <x:v>0</x:v>
      </x:c>
      <x:c r="J22" s="30" t="n">
        <x:f>IFERROR(INDEX('Dirigeant - Matrice'!$L$5:$L$60,MATCH(D22,'Dirigeant - Matrice'!$A$5:$A$60,0)),0)</x:f>
        <x:v>0</x:v>
      </x:c>
      <x:c r="K22" s="30" t="n">
        <x:f>IF(OR(H22="",J22=0),0,H22/3*I22)</x:f>
        <x:v>0</x:v>
      </x:c>
      <x:c r="L22" s="30" t="n">
        <x:f>I22*J22</x:f>
        <x:v>0</x:v>
      </x:c>
      <x:c r="M22" s="30" t="str">
        <x:f>IFERROR(INDEX('Dirigeant - Matrice'!$N$5:$N$60,MATCH(D22,'Dirigeant - Matrice'!$A$5:$A$60,0)),"")&amp;IF(IFERROR(INDEX('Dirigeant - Matrice'!$P$5:$P$60,MATCH(D22,'Dirigeant - Matrice'!$A$5:$A$60,0)),"")&lt;&gt;""," | "&amp;IFERROR(INDEX('Dirigeant - Matrice'!$P$5:$P$60,MATCH(D22,'Dirigeant - Matrice'!$A$5:$A$60,0)),""),"")</x:f>
        <x:v>Urgence | Attentiste</x:v>
      </x:c>
    </x:row>
    <x:row r="23" ht="36" customHeight="1">
      <x:c r="A23" s="31" t="n">
        <x:v>14</x:v>
      </x:c>
      <x:c r="B23" s="31" t="inlineStr">
        <x:is>
          <x:t xml:space="preserve">Dans un an, quel progrès vous donnerait le plus le sentiment de mieux piloter votre entreprise ?</x:t>
        </x:is>
      </x:c>
      <x:c r="C23" s="107" t="inlineStr">
        <x:is>
          <x:t xml:space="preserve">A</x:t>
        </x:is>
      </x:c>
      <x:c r="D23" s="31" t="str">
        <x:f>IF(C23="","","Q"&amp;A23&amp;C23)</x:f>
        <x:v>Q14A</x:v>
      </x:c>
      <x:c r="E23" s="31" t="str">
        <x:f>IFERROR(INDEX('Dirigeant - Matrice'!$D$5:$D$60,MATCH(D23,'Dirigeant - Matrice'!$A$5:$A$60,0)),"")</x:f>
        <x:v>Je pourrais connaître l’état de ma trésorerie sans attendre la fin du mois.</x:v>
      </x:c>
      <x:c r="F23" s="31" t="str">
        <x:f>IFERROR(INDEX('Dirigeant - Matrice'!$E$5:$E$60,MATCH(D23,'Dirigeant - Matrice'!$A$5:$A$60,0)),"")</x:f>
        <x:v>VIS</x:v>
      </x:c>
      <x:c r="G23" s="31" t="str">
        <x:f>IFERROR(INDEX('Dirigeant - Matrice'!$G$5:$G$60,MATCH(D23,'Dirigeant - Matrice'!$A$5:$A$60,0)),"")</x:f>
        <x:v>TRA</x:v>
      </x:c>
      <x:c r="H23" s="31" t="str">
        <x:f>IFERROR(INDEX('Dirigeant - Matrice'!$J$5:$J$60,MATCH(D23,'Dirigeant - Matrice'!$A$5:$A$60,0)),"")</x:f>
      </x:c>
      <x:c r="I23" s="31" t="n">
        <x:f>IFERROR(INDEX('Dirigeant - Matrice'!$K$5:$K$60,MATCH(D23,'Dirigeant - Matrice'!$A$5:$A$60,0)),0)</x:f>
        <x:v>0</x:v>
      </x:c>
      <x:c r="J23" s="31" t="n">
        <x:f>IFERROR(INDEX('Dirigeant - Matrice'!$L$5:$L$60,MATCH(D23,'Dirigeant - Matrice'!$A$5:$A$60,0)),0)</x:f>
        <x:v>0</x:v>
      </x:c>
      <x:c r="K23" s="31" t="n">
        <x:f>IF(OR(H23="",J23=0),0,H23/3*I23)</x:f>
        <x:v>0</x:v>
      </x:c>
      <x:c r="L23" s="31" t="n">
        <x:f>I23*J23</x:f>
        <x:v>0</x:v>
      </x:c>
      <x:c r="M23" s="31" t="str">
        <x:f>IFERROR(INDEX('Dirigeant - Matrice'!$N$5:$N$60,MATCH(D23,'Dirigeant - Matrice'!$A$5:$A$60,0)),"")&amp;IF(IFERROR(INDEX('Dirigeant - Matrice'!$P$5:$P$60,MATCH(D23,'Dirigeant - Matrice'!$A$5:$A$60,0)),"")&lt;&gt;""," | "&amp;IFERROR(INDEX('Dirigeant - Matrice'!$P$5:$P$60,MATCH(D23,'Dirigeant - Matrice'!$A$5:$A$60,0)),""),"")</x:f>
        <x:v>Visibilité sur la trésorerie | Dashboard et reporting</x:v>
      </x:c>
    </x:row>
    <x:row r="24" ht="36" customHeight="1"/>
    <x:row r="25" ht="36" customHeight="1">
      <x:c r="A25" s="10" t="inlineStr">
        <x:is>
          <x:t xml:space="preserve">Scores des dimensions</x:t>
        </x:is>
      </x:c>
      <x:c r="G25" s="10" t="inlineStr">
        <x:is>
          <x:t xml:space="preserve">Affinités des archétypes</x:t>
        </x:is>
      </x:c>
    </x:row>
    <x:row r="26" ht="38" customHeight="1">
      <x:c r="A26" s="19" t="inlineStr">
        <x:is>
          <x:t xml:space="preserve">Dimension</x:t>
        </x:is>
      </x:c>
      <x:c r="B26" s="20" t="inlineStr">
        <x:is>
          <x:t xml:space="preserve">Code</x:t>
        </x:is>
      </x:c>
      <x:c r="C26" s="20" t="inlineStr">
        <x:is>
          <x:t xml:space="preserve">Score brut</x:t>
        </x:is>
      </x:c>
      <x:c r="D26" s="20" t="inlineStr">
        <x:is>
          <x:t xml:space="preserve">Maximum</x:t>
        </x:is>
      </x:c>
      <x:c r="E26" s="21" t="inlineStr">
        <x:is>
          <x:t xml:space="preserve">Score normalisé</x:t>
        </x:is>
      </x:c>
      <x:c r="G26" s="19" t="inlineStr">
        <x:is>
          <x:t xml:space="preserve">Archétype</x:t>
        </x:is>
      </x:c>
      <x:c r="H26" s="20" t="inlineStr">
        <x:is>
          <x:t xml:space="preserve">Affinité</x:t>
        </x:is>
      </x:c>
      <x:c r="I26" s="21" t="inlineStr">
        <x:is>
          <x:t xml:space="preserve">Dimension centrale</x:t>
        </x:is>
      </x:c>
      <x:c r="J26" s="146" t="str">
        <x:v>Affinité arrondie</x:v>
      </x:c>
      <x:c r="K26" s="146" t="str">
        <x:v>Score central</x:v>
      </x:c>
      <x:c r="L26" s="146" t="str">
        <x:v>Nombre +2 central</x:v>
      </x:c>
      <x:c r="M26" s="146" t="str">
        <x:v>Somme brute empreinte</x:v>
      </x:c>
      <x:c r="N26" s="146" t="str">
        <x:v>Clé de départage</x:v>
      </x:c>
      <x:c r="O26" s="146" t="str">
        <x:v>Clé secondaire</x:v>
      </x:c>
    </x:row>
    <x:row r="27" ht="36" customHeight="1">
      <x:c r="A27" s="29" t="inlineStr">
        <x:is>
          <x:t xml:space="preserve">Vision</x:t>
        </x:is>
      </x:c>
      <x:c r="B27" s="29" t="inlineStr">
        <x:is>
          <x:t xml:space="preserve">VIS</x:t>
        </x:is>
      </x:c>
      <x:c r="C27" s="29" t="n">
        <x:f>COUNTIF($F$10:$F$23,B27)*2+COUNTIF($G$10:$G$23,B27)</x:f>
        <x:v>4</x:v>
      </x:c>
      <x:c r="D27" s="29" t="n">
        <x:f>INDEX('Contrôles'!$E$5:$E$12,MATCH(B27,'Contrôles'!$B$5:$B$12,0))</x:f>
        <x:v>12</x:v>
      </x:c>
      <x:c r="E27" s="128" t="n">
        <x:f>IFERROR(C27/D27*100,0)</x:f>
        <x:v>33.33333333333333</x:v>
      </x:c>
      <x:c r="G27" s="29" t="inlineStr">
        <x:is>
          <x:t xml:space="preserve">Stratège</x:t>
        </x:is>
      </x:c>
      <x:c r="H27" s="128" t="n">
        <x:f>$E$28*50%+$E$33*30%+$E$30*20%</x:f>
        <x:v>61.66666666666667</x:v>
      </x:c>
      <x:c r="I27" s="29" t="inlineStr">
        <x:is>
          <x:t xml:space="preserve">STR</x:t>
        </x:is>
      </x:c>
      <x:c r="J27" s="152" t="n">
        <x:f>ROUND(H27,2)</x:f>
        <x:v>61.67</x:v>
      </x:c>
      <x:c r="K27" s="152" t="n">
        <x:f>INDEX($E$27:$E$34,MATCH(I27,$B$27:$B$34,0))</x:f>
        <x:v>86.66666666666667</x:v>
      </x:c>
      <x:c r="L27" s="153" t="n">
        <x:f>COUNTIF($F$10:$F$23,I27)</x:f>
        <x:v>6</x:v>
      </x:c>
      <x:c r="M27" s="153" t="n">
        <x:f>INDEX($C$27:$C$34,MATCH(INDEX('Archétypes &amp; règles'!$C$5:$C$12,MATCH(G27,'Archétypes &amp; règles'!$A$5:$A$12,0)),$B$27:$B$34,0))+INDEX($C$27:$C$34,MATCH(INDEX('Archétypes &amp; règles'!$D$5:$D$12,MATCH(G27,'Archétypes &amp; règles'!$A$5:$A$12,0)),$B$27:$B$34,0))+INDEX($C$27:$C$34,MATCH(INDEX('Archétypes &amp; règles'!$E$5:$E$12,MATCH(G27,'Archétypes &amp; règles'!$A$5:$A$12,0)),$B$27:$B$34,0))</x:f>
        <x:v>24</x:v>
      </x:c>
      <x:c r="N27" s="153" t="n">
        <x:f>J27*100*10000000000+ROUND(K27,2)*100*1000000+L27*10000+M27*10+(35-ROW())</x:f>
        <x:v>61678667060248</x:v>
      </x:c>
      <x:c r="O27" s="153" t="n">
        <x:f>IF(G27=$B$3,-1,N27)</x:f>
        <x:v>-1</x:v>
      </x:c>
    </x:row>
    <x:row r="28" ht="36" customHeight="1">
      <x:c r="A28" s="30" t="inlineStr">
        <x:is>
          <x:t xml:space="preserve">Stratégie</x:t>
        </x:is>
      </x:c>
      <x:c r="B28" s="30" t="inlineStr">
        <x:is>
          <x:t xml:space="preserve">STR</x:t>
        </x:is>
      </x:c>
      <x:c r="C28" s="30" t="n">
        <x:f>COUNTIF($F$10:$F$23,B28)*2+COUNTIF($G$10:$G$23,B28)</x:f>
        <x:v>13</x:v>
      </x:c>
      <x:c r="D28" s="30" t="n">
        <x:f>INDEX('Contrôles'!$E$5:$E$12,MATCH(B28,'Contrôles'!$B$5:$B$12,0))</x:f>
        <x:v>15</x:v>
      </x:c>
      <x:c r="E28" s="129" t="n">
        <x:f>IFERROR(C28/D28*100,0)</x:f>
        <x:v>86.66666666666667</x:v>
      </x:c>
      <x:c r="G28" s="30" t="inlineStr">
        <x:is>
          <x:t xml:space="preserve">Visionnaire</x:t>
        </x:is>
      </x:c>
      <x:c r="H28" s="129" t="n">
        <x:f>$E$27*50%+$E$31*30%+$E$34*20%</x:f>
        <x:v>28.431372549019606</x:v>
      </x:c>
      <x:c r="I28" s="30" t="inlineStr">
        <x:is>
          <x:t xml:space="preserve">VIS</x:t>
        </x:is>
      </x:c>
      <x:c r="J28" s="152" t="n">
        <x:f>ROUND(H28,2)</x:f>
        <x:v>28.43</x:v>
      </x:c>
      <x:c r="K28" s="152" t="n">
        <x:f>INDEX($E$27:$E$34,MATCH(I28,$B$27:$B$34,0))</x:f>
        <x:v>33.33333333333333</x:v>
      </x:c>
      <x:c r="L28" s="153" t="n">
        <x:f>COUNTIF($F$10:$F$23,I28)</x:f>
        <x:v>1</x:v>
      </x:c>
      <x:c r="M28" s="153" t="n">
        <x:f>INDEX($C$27:$C$34,MATCH(INDEX('Archétypes &amp; règles'!$C$5:$C$12,MATCH(G28,'Archétypes &amp; règles'!$A$5:$A$12,0)),$B$27:$B$34,0))+INDEX($C$27:$C$34,MATCH(INDEX('Archétypes &amp; règles'!$D$5:$D$12,MATCH(G28,'Archétypes &amp; règles'!$A$5:$A$12,0)),$B$27:$B$34,0))+INDEX($C$27:$C$34,MATCH(INDEX('Archétypes &amp; règles'!$E$5:$E$12,MATCH(G28,'Archétypes &amp; règles'!$A$5:$A$12,0)),$B$27:$B$34,0))</x:f>
        <x:v>12</x:v>
      </x:c>
      <x:c r="N28" s="153" t="n">
        <x:f>J28*100*10000000000+ROUND(K28,2)*100*1000000+L28*10000+M28*10+(35-ROW())</x:f>
        <x:v>28433333010127</x:v>
      </x:c>
      <x:c r="O28" s="153" t="n">
        <x:f>IF(G28=$B$3,-1,N28)</x:f>
        <x:v>28433333010127</x:v>
      </x:c>
    </x:row>
    <x:row r="29" ht="36" customHeight="1">
      <x:c r="A29" s="30" t="inlineStr">
        <x:is>
          <x:t xml:space="preserve">Exécution</x:t>
        </x:is>
      </x:c>
      <x:c r="B29" s="30" t="inlineStr">
        <x:is>
          <x:t xml:space="preserve">EXE</x:t>
        </x:is>
      </x:c>
      <x:c r="C29" s="30" t="n">
        <x:f>COUNTIF($F$10:$F$23,B29)*2+COUNTIF($G$10:$G$23,B29)</x:f>
        <x:v>1</x:v>
      </x:c>
      <x:c r="D29" s="30" t="n">
        <x:f>INDEX('Contrôles'!$E$5:$E$12,MATCH(B29,'Contrôles'!$B$5:$B$12,0))</x:f>
        <x:v>17</x:v>
      </x:c>
      <x:c r="E29" s="129" t="n">
        <x:f>IFERROR(C29/D29*100,0)</x:f>
        <x:v>5.88235294117647</x:v>
      </x:c>
      <x:c r="G29" s="30" t="inlineStr">
        <x:is>
          <x:t xml:space="preserve">Bâtisseur</x:t>
        </x:is>
      </x:c>
      <x:c r="H29" s="129" t="n">
        <x:f>$E$29*50%+$E$30*35%+$E$28*15%</x:f>
        <x:v>21.774509803921568</x:v>
      </x:c>
      <x:c r="I29" s="30" t="inlineStr">
        <x:is>
          <x:t xml:space="preserve">EXE</x:t>
        </x:is>
      </x:c>
      <x:c r="J29" s="152" t="n">
        <x:f>ROUND(H29,2)</x:f>
        <x:v>21.77</x:v>
      </x:c>
      <x:c r="K29" s="152" t="n">
        <x:f>INDEX($E$27:$E$34,MATCH(I29,$B$27:$B$34,0))</x:f>
        <x:v>5.88235294117647</x:v>
      </x:c>
      <x:c r="L29" s="153" t="n">
        <x:f>COUNTIF($F$10:$F$23,I29)</x:f>
        <x:v>0</x:v>
      </x:c>
      <x:c r="M29" s="153" t="n">
        <x:f>INDEX($C$27:$C$34,MATCH(INDEX('Archétypes &amp; règles'!$C$5:$C$12,MATCH(G29,'Archétypes &amp; règles'!$A$5:$A$12,0)),$B$27:$B$34,0))+INDEX($C$27:$C$34,MATCH(INDEX('Archétypes &amp; règles'!$D$5:$D$12,MATCH(G29,'Archétypes &amp; règles'!$A$5:$A$12,0)),$B$27:$B$34,0))+INDEX($C$27:$C$34,MATCH(INDEX('Archétypes &amp; règles'!$E$5:$E$12,MATCH(G29,'Archétypes &amp; règles'!$A$5:$A$12,0)),$B$27:$B$34,0))</x:f>
        <x:v>17</x:v>
      </x:c>
      <x:c r="N29" s="153" t="n">
        <x:f>J29*100*10000000000+ROUND(K29,2)*100*1000000+L29*10000+M29*10+(35-ROW())</x:f>
        <x:v>21770588000176</x:v>
      </x:c>
      <x:c r="O29" s="153" t="n">
        <x:f>IF(G29=$B$3,-1,N29)</x:f>
        <x:v>21770588000176</x:v>
      </x:c>
    </x:row>
    <x:row r="30" ht="36" customHeight="1">
      <x:c r="A30" s="30" t="inlineStr">
        <x:is>
          <x:t xml:space="preserve">Organisation</x:t>
        </x:is>
      </x:c>
      <x:c r="B30" s="30" t="inlineStr">
        <x:is>
          <x:t xml:space="preserve">ORG</x:t>
        </x:is>
      </x:c>
      <x:c r="C30" s="30" t="n">
        <x:f>COUNTIF($F$10:$F$23,B30)*2+COUNTIF($G$10:$G$23,B30)</x:f>
        <x:v>3</x:v>
      </x:c>
      <x:c r="D30" s="30" t="n">
        <x:f>INDEX('Contrôles'!$E$5:$E$12,MATCH(B30,'Contrôles'!$B$5:$B$12,0))</x:f>
        <x:v>18</x:v>
      </x:c>
      <x:c r="E30" s="129" t="n">
        <x:f>IFERROR(C30/D30*100,0)</x:f>
        <x:v>16.666666666666664</x:v>
      </x:c>
      <x:c r="G30" s="30" t="inlineStr">
        <x:is>
          <x:t xml:space="preserve">Conquérant</x:t>
        </x:is>
      </x:c>
      <x:c r="H30" s="129" t="n">
        <x:f>$E$32*50%+$E$29*35%+$E$27*15%</x:f>
        <x:v>23.72549019607843</x:v>
      </x:c>
      <x:c r="I30" s="30" t="inlineStr">
        <x:is>
          <x:t xml:space="preserve">AUD</x:t>
        </x:is>
      </x:c>
      <x:c r="J30" s="152" t="n">
        <x:f>ROUND(H30,2)</x:f>
        <x:v>23.73</x:v>
      </x:c>
      <x:c r="K30" s="152" t="n">
        <x:f>INDEX($E$27:$E$34,MATCH(I30,$B$27:$B$34,0))</x:f>
        <x:v>33.33333333333333</x:v>
      </x:c>
      <x:c r="L30" s="153" t="n">
        <x:f>COUNTIF($F$10:$F$23,I30)</x:f>
        <x:v>1</x:v>
      </x:c>
      <x:c r="M30" s="153" t="n">
        <x:f>INDEX($C$27:$C$34,MATCH(INDEX('Archétypes &amp; règles'!$C$5:$C$12,MATCH(G30,'Archétypes &amp; règles'!$A$5:$A$12,0)),$B$27:$B$34,0))+INDEX($C$27:$C$34,MATCH(INDEX('Archétypes &amp; règles'!$D$5:$D$12,MATCH(G30,'Archétypes &amp; règles'!$A$5:$A$12,0)),$B$27:$B$34,0))+INDEX($C$27:$C$34,MATCH(INDEX('Archétypes &amp; règles'!$E$5:$E$12,MATCH(G30,'Archétypes &amp; règles'!$A$5:$A$12,0)),$B$27:$B$34,0))</x:f>
        <x:v>10</x:v>
      </x:c>
      <x:c r="N30" s="153" t="n">
        <x:f>J30*100*10000000000+ROUND(K30,2)*100*1000000+L30*10000+M30*10+(35-ROW())</x:f>
        <x:v>23733333010105</x:v>
      </x:c>
      <x:c r="O30" s="153" t="n">
        <x:f>IF(G30=$B$3,-1,N30)</x:f>
        <x:v>23733333010105</x:v>
      </x:c>
    </x:row>
    <x:row r="31" ht="36" customHeight="1">
      <x:c r="A31" s="30" t="inlineStr">
        <x:is>
          <x:t xml:space="preserve">Influence</x:t>
        </x:is>
      </x:c>
      <x:c r="B31" s="30" t="inlineStr">
        <x:is>
          <x:t xml:space="preserve">INF</x:t>
        </x:is>
      </x:c>
      <x:c r="C31" s="30" t="n">
        <x:f>COUNTIF($F$10:$F$23,B31)*2+COUNTIF($G$10:$G$23,B31)</x:f>
        <x:v>4</x:v>
      </x:c>
      <x:c r="D31" s="30" t="n">
        <x:f>INDEX('Contrôles'!$E$5:$E$12,MATCH(B31,'Contrôles'!$B$5:$B$12,0))</x:f>
        <x:v>17</x:v>
      </x:c>
      <x:c r="E31" s="129" t="n">
        <x:f>IFERROR(C31/D31*100,0)</x:f>
        <x:v>23.52941176470588</x:v>
      </x:c>
      <x:c r="G31" s="30" t="inlineStr">
        <x:is>
          <x:t xml:space="preserve">Fédérateur</x:t>
        </x:is>
      </x:c>
      <x:c r="H31" s="129" t="n">
        <x:f>$E$31*50%+$E$33*30%+$E$27*20%</x:f>
        <x:v>33.431372549019606</x:v>
      </x:c>
      <x:c r="I31" s="30" t="inlineStr">
        <x:is>
          <x:t xml:space="preserve">INF</x:t>
        </x:is>
      </x:c>
      <x:c r="J31" s="152" t="n">
        <x:f>ROUND(H31,2)</x:f>
        <x:v>33.43</x:v>
      </x:c>
      <x:c r="K31" s="152" t="n">
        <x:f>INDEX($E$27:$E$34,MATCH(I31,$B$27:$B$34,0))</x:f>
        <x:v>23.52941176470588</x:v>
      </x:c>
      <x:c r="L31" s="153" t="n">
        <x:f>COUNTIF($F$10:$F$23,I31)</x:f>
        <x:v>1</x:v>
      </x:c>
      <x:c r="M31" s="153" t="n">
        <x:f>INDEX($C$27:$C$34,MATCH(INDEX('Archétypes &amp; règles'!$C$5:$C$12,MATCH(G31,'Archétypes &amp; règles'!$A$5:$A$12,0)),$B$27:$B$34,0))+INDEX($C$27:$C$34,MATCH(INDEX('Archétypes &amp; règles'!$D$5:$D$12,MATCH(G31,'Archétypes &amp; règles'!$A$5:$A$12,0)),$B$27:$B$34,0))+INDEX($C$27:$C$34,MATCH(INDEX('Archétypes &amp; règles'!$E$5:$E$12,MATCH(G31,'Archétypes &amp; règles'!$A$5:$A$12,0)),$B$27:$B$34,0))</x:f>
        <x:v>16</x:v>
      </x:c>
      <x:c r="N31" s="153" t="n">
        <x:f>J31*100*10000000000+ROUND(K31,2)*100*1000000+L31*10000+M31*10+(35-ROW())</x:f>
        <x:v>33432353010164</x:v>
      </x:c>
      <x:c r="O31" s="153" t="n">
        <x:f>IF(G31=$B$3,-1,N31)</x:f>
        <x:v>33432353010164</x:v>
      </x:c>
    </x:row>
    <x:row r="32" ht="36" customHeight="1">
      <x:c r="A32" s="30" t="inlineStr">
        <x:is>
          <x:t xml:space="preserve">Audace</x:t>
        </x:is>
      </x:c>
      <x:c r="B32" s="30" t="inlineStr">
        <x:is>
          <x:t xml:space="preserve">AUD</x:t>
        </x:is>
      </x:c>
      <x:c r="C32" s="30" t="n">
        <x:f>COUNTIF($F$10:$F$23,B32)*2+COUNTIF($G$10:$G$23,B32)</x:f>
        <x:v>5</x:v>
      </x:c>
      <x:c r="D32" s="30" t="n">
        <x:f>INDEX('Contrôles'!$E$5:$E$12,MATCH(B32,'Contrôles'!$B$5:$B$12,0))</x:f>
        <x:v>15</x:v>
      </x:c>
      <x:c r="E32" s="129" t="n">
        <x:f>IFERROR(C32/D32*100,0)</x:f>
        <x:v>33.33333333333333</x:v>
      </x:c>
      <x:c r="G32" s="30" t="inlineStr">
        <x:is>
          <x:t xml:space="preserve">Résilient</x:t>
        </x:is>
      </x:c>
      <x:c r="H32" s="129" t="n">
        <x:f>$E$33*50%+$E$29*30%+$E$32*20%</x:f>
        <x:v>33.431372549019606</x:v>
      </x:c>
      <x:c r="I32" s="30" t="inlineStr">
        <x:is>
          <x:t xml:space="preserve">ADA</x:t>
        </x:is>
      </x:c>
      <x:c r="J32" s="152" t="n">
        <x:f>ROUND(H32,2)</x:f>
        <x:v>33.43</x:v>
      </x:c>
      <x:c r="K32" s="152" t="n">
        <x:f>INDEX($E$27:$E$34,MATCH(I32,$B$27:$B$34,0))</x:f>
        <x:v>50</x:v>
      </x:c>
      <x:c r="L32" s="153" t="n">
        <x:f>COUNTIF($F$10:$F$23,I32)</x:f>
        <x:v>4</x:v>
      </x:c>
      <x:c r="M32" s="153" t="n">
        <x:f>INDEX($C$27:$C$34,MATCH(INDEX('Archétypes &amp; règles'!$C$5:$C$12,MATCH(G32,'Archétypes &amp; règles'!$A$5:$A$12,0)),$B$27:$B$34,0))+INDEX($C$27:$C$34,MATCH(INDEX('Archétypes &amp; règles'!$D$5:$D$12,MATCH(G32,'Archétypes &amp; règles'!$A$5:$A$12,0)),$B$27:$B$34,0))+INDEX($C$27:$C$34,MATCH(INDEX('Archétypes &amp; règles'!$E$5:$E$12,MATCH(G32,'Archétypes &amp; règles'!$A$5:$A$12,0)),$B$27:$B$34,0))</x:f>
        <x:v>14</x:v>
      </x:c>
      <x:c r="N32" s="153" t="n">
        <x:f>J32*100*10000000000+ROUND(K32,2)*100*1000000+L32*10000+M32*10+(35-ROW())</x:f>
        <x:v>33435000040143</x:v>
      </x:c>
      <x:c r="O32" s="153" t="n">
        <x:f>IF(G32=$B$3,-1,N32)</x:f>
        <x:v>33435000040143</x:v>
      </x:c>
    </x:row>
    <x:row r="33" ht="36" customHeight="1">
      <x:c r="A33" s="30" t="inlineStr">
        <x:is>
          <x:t xml:space="preserve">Adaptabilité</x:t>
        </x:is>
      </x:c>
      <x:c r="B33" s="30" t="inlineStr">
        <x:is>
          <x:t xml:space="preserve">ADA</x:t>
        </x:is>
      </x:c>
      <x:c r="C33" s="30" t="n">
        <x:f>COUNTIF($F$10:$F$23,B33)*2+COUNTIF($G$10:$G$23,B33)</x:f>
        <x:v>8</x:v>
      </x:c>
      <x:c r="D33" s="30" t="n">
        <x:f>INDEX('Contrôles'!$E$5:$E$12,MATCH(B33,'Contrôles'!$B$5:$B$12,0))</x:f>
        <x:v>16</x:v>
      </x:c>
      <x:c r="E33" s="129" t="n">
        <x:f>IFERROR(C33/D33*100,0)</x:f>
        <x:v>50</x:v>
      </x:c>
      <x:c r="G33" s="30" t="inlineStr">
        <x:is>
          <x:t xml:space="preserve">Gestionnaire</x:t>
        </x:is>
      </x:c>
      <x:c r="H33" s="129" t="n">
        <x:f>$E$30*45%+$E$28*30%+$E$29*25%</x:f>
        <x:v>34.970588235294116</x:v>
      </x:c>
      <x:c r="I33" s="30" t="inlineStr">
        <x:is>
          <x:t xml:space="preserve">ORG</x:t>
        </x:is>
      </x:c>
      <x:c r="J33" s="152" t="n">
        <x:f>ROUND(H33,2)</x:f>
        <x:v>34.97</x:v>
      </x:c>
      <x:c r="K33" s="152" t="n">
        <x:f>INDEX($E$27:$E$34,MATCH(I33,$B$27:$B$34,0))</x:f>
        <x:v>16.666666666666664</x:v>
      </x:c>
      <x:c r="L33" s="153" t="n">
        <x:f>COUNTIF($F$10:$F$23,I33)</x:f>
        <x:v>0</x:v>
      </x:c>
      <x:c r="M33" s="153" t="n">
        <x:f>INDEX($C$27:$C$34,MATCH(INDEX('Archétypes &amp; règles'!$C$5:$C$12,MATCH(G33,'Archétypes &amp; règles'!$A$5:$A$12,0)),$B$27:$B$34,0))+INDEX($C$27:$C$34,MATCH(INDEX('Archétypes &amp; règles'!$D$5:$D$12,MATCH(G33,'Archétypes &amp; règles'!$A$5:$A$12,0)),$B$27:$B$34,0))+INDEX($C$27:$C$34,MATCH(INDEX('Archétypes &amp; règles'!$E$5:$E$12,MATCH(G33,'Archétypes &amp; règles'!$A$5:$A$12,0)),$B$27:$B$34,0))</x:f>
        <x:v>17</x:v>
      </x:c>
      <x:c r="N33" s="153" t="n">
        <x:f>J33*100*10000000000+ROUND(K33,2)*100*1000000+L33*10000+M33*10+(35-ROW())</x:f>
        <x:v>34971667000172</x:v>
      </x:c>
      <x:c r="O33" s="153" t="n">
        <x:f>IF(G33=$B$3,-1,N33)</x:f>
        <x:v>34971667000172</x:v>
      </x:c>
    </x:row>
    <x:row r="34" ht="36" customHeight="1">
      <x:c r="A34" s="31" t="inlineStr">
        <x:is>
          <x:t xml:space="preserve">Transformation</x:t>
        </x:is>
      </x:c>
      <x:c r="B34" s="31" t="inlineStr">
        <x:is>
          <x:t xml:space="preserve">TRA</x:t>
        </x:is>
      </x:c>
      <x:c r="C34" s="31" t="n">
        <x:f>COUNTIF($F$10:$F$23,B34)*2+COUNTIF($G$10:$G$23,B34)</x:f>
        <x:v>4</x:v>
      </x:c>
      <x:c r="D34" s="31" t="n">
        <x:f>INDEX('Contrôles'!$E$5:$E$12,MATCH(B34,'Contrôles'!$B$5:$B$12,0))</x:f>
        <x:v>17</x:v>
      </x:c>
      <x:c r="E34" s="130" t="n">
        <x:f>IFERROR(C34/D34*100,0)</x:f>
        <x:v>23.52941176470588</x:v>
      </x:c>
      <x:c r="G34" s="31" t="inlineStr">
        <x:is>
          <x:t xml:space="preserve">Réformateur</x:t>
        </x:is>
      </x:c>
      <x:c r="H34" s="130" t="n">
        <x:f>$E$34*50%+$E$32*30%+$E$27*20%</x:f>
        <x:v>28.431372549019606</x:v>
      </x:c>
      <x:c r="I34" s="31" t="inlineStr">
        <x:is>
          <x:t xml:space="preserve">TRA</x:t>
        </x:is>
      </x:c>
      <x:c r="J34" s="152" t="n">
        <x:f>ROUND(H34,2)</x:f>
        <x:v>28.43</x:v>
      </x:c>
      <x:c r="K34" s="152" t="n">
        <x:f>INDEX($E$27:$E$34,MATCH(I34,$B$27:$B$34,0))</x:f>
        <x:v>23.52941176470588</x:v>
      </x:c>
      <x:c r="L34" s="153" t="n">
        <x:f>COUNTIF($F$10:$F$23,I34)</x:f>
        <x:v>1</x:v>
      </x:c>
      <x:c r="M34" s="153" t="n">
        <x:f>INDEX($C$27:$C$34,MATCH(INDEX('Archétypes &amp; règles'!$C$5:$C$12,MATCH(G34,'Archétypes &amp; règles'!$A$5:$A$12,0)),$B$27:$B$34,0))+INDEX($C$27:$C$34,MATCH(INDEX('Archétypes &amp; règles'!$D$5:$D$12,MATCH(G34,'Archétypes &amp; règles'!$A$5:$A$12,0)),$B$27:$B$34,0))+INDEX($C$27:$C$34,MATCH(INDEX('Archétypes &amp; règles'!$E$5:$E$12,MATCH(G34,'Archétypes &amp; règles'!$A$5:$A$12,0)),$B$27:$B$34,0))</x:f>
        <x:v>13</x:v>
      </x:c>
      <x:c r="N34" s="153" t="n">
        <x:f>J34*100*10000000000+ROUND(K34,2)*100*1000000+L34*10000+M34*10+(35-ROW())</x:f>
        <x:v>28432353010131</x:v>
      </x:c>
      <x:c r="O34" s="153" t="n">
        <x:f>IF(G34=$B$3,-1,N34)</x:f>
        <x:v>28432353010131</x:v>
      </x:c>
    </x:row>
    <x:row r="35" ht="36" customHeight="1"/>
    <x:row r="36" ht="36" customHeight="1"/>
    <x:row r="37" ht="36" customHeight="1"/>
    <x:row r="38" ht="36" customHeight="1"/>
    <x:row r="39" ht="36" customHeight="1">
      <x:c r="A39" s="19" t="inlineStr">
        <x:is>
          <x:t xml:space="preserve">N°</x:t>
        </x:is>
      </x:c>
      <x:c r="B39" s="20" t="inlineStr">
        <x:is>
          <x:t xml:space="preserve">Question Rayonnement</x:t>
        </x:is>
      </x:c>
      <x:c r="C39" s="20" t="inlineStr">
        <x:is>
          <x:t xml:space="preserve">Choix</x:t>
        </x:is>
      </x:c>
      <x:c r="D39" s="20" t="inlineStr">
        <x:is>
          <x:t xml:space="preserve">Code</x:t>
        </x:is>
      </x:c>
      <x:c r="E39" s="20" t="inlineStr">
        <x:is>
          <x:t xml:space="preserve">Option sélectionnée</x:t>
        </x:is>
      </x:c>
      <x:c r="F39" s="20" t="inlineStr">
        <x:is>
          <x:t xml:space="preserve">Points</x:t>
        </x:is>
      </x:c>
      <x:c r="G39" s="20" t="inlineStr">
        <x:is>
          <x:t xml:space="preserve">Dimension</x:t>
        </x:is>
      </x:c>
      <x:c r="H39" s="20" t="inlineStr">
        <x:is>
          <x:t xml:space="preserve">Tag</x:t>
        </x:is>
      </x:c>
      <x:c r="I39" s="20" t="inlineStr">
        <x:is>
          <x:t xml:space="preserve">Valeur</x:t>
        </x:is>
      </x:c>
      <x:c r="J39" s="21" t="inlineStr">
        <x:is>
          <x:t xml:space="preserve">Règle</x:t>
        </x:is>
      </x:c>
    </x:row>
    <x:row r="40" ht="36" customHeight="1">
      <x:c r="A40" s="29" t="n">
        <x:v>1</x:v>
      </x:c>
      <x:c r="B40" s="29" t="inlineStr">
        <x:is>
          <x:t xml:space="preserve">En dehors de vos clients actuels, jusqu’où votre entreprise est-elle connue ?</x:t>
        </x:is>
      </x:c>
      <x:c r="C40" s="105" t="inlineStr">
        <x:is>
          <x:t xml:space="preserve">C</x:t>
        </x:is>
      </x:c>
      <x:c r="D40" s="29" t="str">
        <x:f>IF(C40="","","R"&amp;A40&amp;C40)</x:f>
        <x:v>R1C</x:v>
      </x:c>
      <x:c r="E40" s="29" t="str">
        <x:f>IFERROR(INDEX('Rayonnement - Matrice'!$D$5:$D$32,MATCH(D40,'Rayonnement - Matrice'!$A$5:$A$32,0)),"")</x:f>
        <x:v>Elle est régulièrement identifiée par des prospects de mon secteur.</x:v>
      </x:c>
      <x:c r="F40" s="29" t="n">
        <x:f>IFERROR(INDEX('Rayonnement - Matrice'!$F$5:$F$32,MATCH(D40,'Rayonnement - Matrice'!$A$5:$A$32,0)),"")</x:f>
        <x:v>2</x:v>
      </x:c>
      <x:c r="G40" s="29" t="str">
        <x:f>IFERROR(INDEX('Rayonnement - Matrice'!$E$5:$E$32,MATCH(D40,'Rayonnement - Matrice'!$A$5:$A$32,0)),"")</x:f>
        <x:v>Notoriété</x:v>
      </x:c>
      <x:c r="H40" s="29" t="str">
        <x:f>IFERROR(INDEX('Rayonnement - Matrice'!$H$5:$H$32,MATCH(D40,'Rayonnement - Matrice'!$A$5:$A$32,0)),"")</x:f>
        <x:v>Niveau déclaré</x:v>
      </x:c>
      <x:c r="I40" s="29" t="str">
        <x:f>IFERROR(INDEX('Rayonnement - Matrice'!$I$5:$I$32,MATCH(D40,'Rayonnement - Matrice'!$A$5:$A$32,0)),"")</x:f>
        <x:v>Installé</x:v>
      </x:c>
      <x:c r="J40" s="29" t="str">
        <x:f>IFERROR(INDEX('Rayonnement - Matrice'!$J$5:$J$32,MATCH(D40,'Rayonnement - Matrice'!$A$5:$A$32,0)),"")</x:f>
        <x:v>Échelle progressive 2/3.</x:v>
      </x:c>
    </x:row>
    <x:row r="41" ht="36" customHeight="1">
      <x:c r="A41" s="30" t="n">
        <x:v>2</x:v>
      </x:c>
      <x:c r="B41" s="30" t="inlineStr">
        <x:is>
          <x:t xml:space="preserve">Lorsqu’un prospect choisit un concurrent, savez-vous généralement pourquoi ?</x:t>
        </x:is>
      </x:c>
      <x:c r="C41" s="106" t="inlineStr">
        <x:is>
          <x:t xml:space="preserve">C</x:t>
        </x:is>
      </x:c>
      <x:c r="D41" s="30" t="str">
        <x:f>IF(C41="","","R"&amp;A41&amp;C41)</x:f>
        <x:v>R2C</x:v>
      </x:c>
      <x:c r="E41" s="30" t="str">
        <x:f>IFERROR(INDEX('Rayonnement - Matrice'!$D$5:$D$32,MATCH(D41,'Rayonnement - Matrice'!$A$5:$A$32,0)),"")</x:f>
        <x:v>Il m’arrive de lui demander ce qui a motivé son choix.</x:v>
      </x:c>
      <x:c r="F41" s="30" t="n">
        <x:f>IFERROR(INDEX('Rayonnement - Matrice'!$F$5:$F$32,MATCH(D41,'Rayonnement - Matrice'!$A$5:$A$32,0)),"")</x:f>
        <x:v>2</x:v>
      </x:c>
      <x:c r="G41" s="30" t="str">
        <x:f>IFERROR(INDEX('Rayonnement - Matrice'!$E$5:$E$32,MATCH(D41,'Rayonnement - Matrice'!$A$5:$A$32,0)),"")</x:f>
        <x:v>Lecture concurrentielle</x:v>
      </x:c>
      <x:c r="H41" s="30" t="str">
        <x:f>IFERROR(INDEX('Rayonnement - Matrice'!$H$5:$H$32,MATCH(D41,'Rayonnement - Matrice'!$A$5:$A$32,0)),"")</x:f>
        <x:v>Niveau déclaré</x:v>
      </x:c>
      <x:c r="I41" s="30" t="str">
        <x:f>IFERROR(INDEX('Rayonnement - Matrice'!$I$5:$I$32,MATCH(D41,'Rayonnement - Matrice'!$A$5:$A$32,0)),"")</x:f>
        <x:v>Installé</x:v>
      </x:c>
      <x:c r="J41" s="30" t="str">
        <x:f>IFERROR(INDEX('Rayonnement - Matrice'!$J$5:$J$32,MATCH(D41,'Rayonnement - Matrice'!$A$5:$A$32,0)),"")</x:f>
        <x:v>Échelle progressive 2/3.</x:v>
      </x:c>
    </x:row>
    <x:row r="42" ht="36" customHeight="1">
      <x:c r="A42" s="30" t="n">
        <x:v>3</x:v>
      </x:c>
      <x:c r="B42" s="30" t="inlineStr">
        <x:is>
          <x:t xml:space="preserve">Pour quelle raison vos clients vous choisissent-ils principalement ?</x:t>
        </x:is>
      </x:c>
      <x:c r="C42" s="106" t="inlineStr">
        <x:is>
          <x:t xml:space="preserve">C</x:t>
        </x:is>
      </x:c>
      <x:c r="D42" s="30" t="str">
        <x:f>IF(C42="","","R"&amp;A42&amp;C42)</x:f>
        <x:v>R3C</x:v>
      </x:c>
      <x:c r="E42" s="30" t="str">
        <x:f>IFERROR(INDEX('Rayonnement - Matrice'!$D$5:$D$32,MATCH(D42,'Rayonnement - Matrice'!$A$5:$A$32,0)),"")</x:f>
        <x:v>Ils reviennent parce qu’ils font confiance à la qualité de ce que je propose.</x:v>
      </x:c>
      <x:c r="F42" s="30" t="str">
        <x:f>IFERROR(INDEX('Rayonnement - Matrice'!$F$5:$F$32,MATCH(D42,'Rayonnement - Matrice'!$A$5:$A$32,0)),"")</x:f>
      </x:c>
      <x:c r="G42" s="30" t="str">
        <x:f>IFERROR(INDEX('Rayonnement - Matrice'!$E$5:$E$32,MATCH(D42,'Rayonnement - Matrice'!$A$5:$A$32,0)),"")</x:f>
        <x:v>Tag de différenciation</x:v>
      </x:c>
      <x:c r="H42" s="30" t="str">
        <x:f>IFERROR(INDEX('Rayonnement - Matrice'!$H$5:$H$32,MATCH(D42,'Rayonnement - Matrice'!$A$5:$A$32,0)),"")</x:f>
        <x:v>Nature de la différenciation</x:v>
      </x:c>
      <x:c r="I42" s="30" t="str">
        <x:f>IFERROR(INDEX('Rayonnement - Matrice'!$I$5:$I$32,MATCH(D42,'Rayonnement - Matrice'!$A$5:$A$32,0)),"")</x:f>
        <x:v>Qualité</x:v>
      </x:c>
      <x:c r="J42" s="30" t="str">
        <x:f>IFERROR(INDEX('Rayonnement - Matrice'!$J$5:$J$32,MATCH(D42,'Rayonnement - Matrice'!$A$5:$A$32,0)),"")</x:f>
        <x:v>Tag uniquement : aucune hiérarchie entre prix, proximité, qualité et avantage distinctif.</x:v>
      </x:c>
    </x:row>
    <x:row r="43" ht="36" customHeight="1">
      <x:c r="A43" s="30" t="n">
        <x:v>4</x:v>
      </x:c>
      <x:c r="B43" s="30" t="inlineStr">
        <x:is>
          <x:t xml:space="preserve">Une personne qui découvre votre entreprise comprend-elle facilement ce qui vous distingue ?</x:t>
        </x:is>
      </x:c>
      <x:c r="C43" s="106" t="inlineStr">
        <x:is>
          <x:t xml:space="preserve">C</x:t>
        </x:is>
      </x:c>
      <x:c r="D43" s="30" t="str">
        <x:f>IF(C43="","","R"&amp;A43&amp;C43)</x:f>
        <x:v>R4C</x:v>
      </x:c>
      <x:c r="E43" s="30" t="str">
        <x:f>IFERROR(INDEX('Rayonnement - Matrice'!$D$5:$D$32,MATCH(D43,'Rayonnement - Matrice'!$A$5:$A$32,0)),"")</x:f>
        <x:v>Ma différence apparaît déjà dans mes offres et ma communication.</x:v>
      </x:c>
      <x:c r="F43" s="30" t="n">
        <x:f>IFERROR(INDEX('Rayonnement - Matrice'!$F$5:$F$32,MATCH(D43,'Rayonnement - Matrice'!$A$5:$A$32,0)),"")</x:f>
        <x:v>2</x:v>
      </x:c>
      <x:c r="G43" s="30" t="str">
        <x:f>IFERROR(INDEX('Rayonnement - Matrice'!$E$5:$E$32,MATCH(D43,'Rayonnement - Matrice'!$A$5:$A$32,0)),"")</x:f>
        <x:v>Différenciation</x:v>
      </x:c>
      <x:c r="H43" s="30" t="str">
        <x:f>IFERROR(INDEX('Rayonnement - Matrice'!$H$5:$H$32,MATCH(D43,'Rayonnement - Matrice'!$A$5:$A$32,0)),"")</x:f>
        <x:v>Niveau déclaré</x:v>
      </x:c>
      <x:c r="I43" s="30" t="str">
        <x:f>IFERROR(INDEX('Rayonnement - Matrice'!$I$5:$I$32,MATCH(D43,'Rayonnement - Matrice'!$A$5:$A$32,0)),"")</x:f>
        <x:v>Installé</x:v>
      </x:c>
      <x:c r="J43" s="30" t="str">
        <x:f>IFERROR(INDEX('Rayonnement - Matrice'!$J$5:$J$32,MATCH(D43,'Rayonnement - Matrice'!$A$5:$A$32,0)),"")</x:f>
        <x:v>Échelle progressive 2/3.</x:v>
      </x:c>
    </x:row>
    <x:row r="44" ht="36" customHeight="1">
      <x:c r="A44" s="30" t="n">
        <x:v>5</x:v>
      </x:c>
      <x:c r="B44" s="30" t="inlineStr">
        <x:is>
          <x:t xml:space="preserve">Comment votre entreprise est-elle actuellement présente sur les canaux numériques ?</x:t>
        </x:is>
      </x:c>
      <x:c r="C44" s="106" t="inlineStr">
        <x:is>
          <x:t xml:space="preserve">C</x:t>
        </x:is>
      </x:c>
      <x:c r="D44" s="30" t="str">
        <x:f>IF(C44="","","R"&amp;A44&amp;C44)</x:f>
        <x:v>R5C</x:v>
      </x:c>
      <x:c r="E44" s="30" t="str">
        <x:f>IFERROR(INDEX('Rayonnement - Matrice'!$D$5:$D$32,MATCH(D44,'Rayonnement - Matrice'!$A$5:$A$32,0)),"")</x:f>
        <x:v>Je communique régulièrement sur le canal que j’utilise le plus.</x:v>
      </x:c>
      <x:c r="F44" s="30" t="n">
        <x:f>IFERROR(INDEX('Rayonnement - Matrice'!$F$5:$F$32,MATCH(D44,'Rayonnement - Matrice'!$A$5:$A$32,0)),"")</x:f>
        <x:v>2</x:v>
      </x:c>
      <x:c r="G44" s="30" t="str">
        <x:f>IFERROR(INDEX('Rayonnement - Matrice'!$E$5:$E$32,MATCH(D44,'Rayonnement - Matrice'!$A$5:$A$32,0)),"")</x:f>
        <x:v>Présence digitale</x:v>
      </x:c>
      <x:c r="H44" s="30" t="str">
        <x:f>IFERROR(INDEX('Rayonnement - Matrice'!$H$5:$H$32,MATCH(D44,'Rayonnement - Matrice'!$A$5:$A$32,0)),"")</x:f>
        <x:v>Niveau déclaré</x:v>
      </x:c>
      <x:c r="I44" s="30" t="str">
        <x:f>IFERROR(INDEX('Rayonnement - Matrice'!$I$5:$I$32,MATCH(D44,'Rayonnement - Matrice'!$A$5:$A$32,0)),"")</x:f>
        <x:v>Installé</x:v>
      </x:c>
      <x:c r="J44" s="30" t="str">
        <x:f>IFERROR(INDEX('Rayonnement - Matrice'!$J$5:$J$32,MATCH(D44,'Rayonnement - Matrice'!$A$5:$A$32,0)),"")</x:f>
        <x:v>Échelle progressive 2/3.</x:v>
      </x:c>
    </x:row>
    <x:row r="45" ht="36" customHeight="1">
      <x:c r="A45" s="30" t="n">
        <x:v>6</x:v>
      </x:c>
      <x:c r="B45" s="30" t="inlineStr">
        <x:is>
          <x:t xml:space="preserve">Que produit concrètement votre présence numérique pour votre entreprise ?</x:t>
        </x:is>
      </x:c>
      <x:c r="C45" s="106" t="inlineStr">
        <x:is>
          <x:t xml:space="preserve">C</x:t>
        </x:is>
      </x:c>
      <x:c r="D45" s="30" t="str">
        <x:f>IF(C45="","","R"&amp;A45&amp;C45)</x:f>
        <x:v>R6C</x:v>
      </x:c>
      <x:c r="E45" s="30" t="str">
        <x:f>IFERROR(INDEX('Rayonnement - Matrice'!$D$5:$D$32,MATCH(D45,'Rayonnement - Matrice'!$A$5:$A$32,0)),"")</x:f>
        <x:v>Elle génère régulièrement des demandes d’information ou de devis.</x:v>
      </x:c>
      <x:c r="F45" s="30" t="n">
        <x:f>IFERROR(INDEX('Rayonnement - Matrice'!$F$5:$F$32,MATCH(D45,'Rayonnement - Matrice'!$A$5:$A$32,0)),"")</x:f>
        <x:v>2</x:v>
      </x:c>
      <x:c r="G45" s="30" t="str">
        <x:f>IFERROR(INDEX('Rayonnement - Matrice'!$E$5:$E$32,MATCH(D45,'Rayonnement - Matrice'!$A$5:$A$32,0)),"")</x:f>
        <x:v>Performance digitale</x:v>
      </x:c>
      <x:c r="H45" s="30" t="str">
        <x:f>IFERROR(INDEX('Rayonnement - Matrice'!$H$5:$H$32,MATCH(D45,'Rayonnement - Matrice'!$A$5:$A$32,0)),"")</x:f>
        <x:v>Niveau déclaré</x:v>
      </x:c>
      <x:c r="I45" s="30" t="str">
        <x:f>IFERROR(INDEX('Rayonnement - Matrice'!$I$5:$I$32,MATCH(D45,'Rayonnement - Matrice'!$A$5:$A$32,0)),"")</x:f>
        <x:v>Installé</x:v>
      </x:c>
      <x:c r="J45" s="30" t="str">
        <x:f>IFERROR(INDEX('Rayonnement - Matrice'!$J$5:$J$32,MATCH(D45,'Rayonnement - Matrice'!$A$5:$A$32,0)),"")</x:f>
        <x:v>Échelle progressive 2/3.</x:v>
      </x:c>
    </x:row>
    <x:row r="46" ht="36" customHeight="1">
      <x:c r="A46" s="31" t="n">
        <x:v>7</x:v>
      </x:c>
      <x:c r="B46" s="31" t="inlineStr">
        <x:is>
          <x:t xml:space="preserve">Si votre entreprise arrêtait ses activités demain, qui le remarquerait rapidement ?</x:t>
        </x:is>
      </x:c>
      <x:c r="C46" s="107" t="inlineStr">
        <x:is>
          <x:t xml:space="preserve">C</x:t>
        </x:is>
      </x:c>
      <x:c r="D46" s="31" t="str">
        <x:f>IF(C46="","","R"&amp;A46&amp;C46)</x:f>
        <x:v>R7C</x:v>
      </x:c>
      <x:c r="E46" s="31" t="str">
        <x:f>IFERROR(INDEX('Rayonnement - Matrice'!$D$5:$D$32,MATCH(D46,'Rayonnement - Matrice'!$A$5:$A$32,0)),"")</x:f>
        <x:v>Certains partenaires ou professionnels de mon secteur le remarqueraient.</x:v>
      </x:c>
      <x:c r="F46" s="31" t="n">
        <x:f>IFERROR(INDEX('Rayonnement - Matrice'!$F$5:$F$32,MATCH(D46,'Rayonnement - Matrice'!$A$5:$A$32,0)),"")</x:f>
        <x:v>2</x:v>
      </x:c>
      <x:c r="G46" s="31" t="str">
        <x:f>IFERROR(INDEX('Rayonnement - Matrice'!$E$5:$E$32,MATCH(D46,'Rayonnement - Matrice'!$A$5:$A$32,0)),"")</x:f>
        <x:v>Empreinte dans l’écosystème</x:v>
      </x:c>
      <x:c r="H46" s="31" t="str">
        <x:f>IFERROR(INDEX('Rayonnement - Matrice'!$H$5:$H$32,MATCH(D46,'Rayonnement - Matrice'!$A$5:$A$32,0)),"")</x:f>
        <x:v>Niveau déclaré</x:v>
      </x:c>
      <x:c r="I46" s="31" t="str">
        <x:f>IFERROR(INDEX('Rayonnement - Matrice'!$I$5:$I$32,MATCH(D46,'Rayonnement - Matrice'!$A$5:$A$32,0)),"")</x:f>
        <x:v>Installé</x:v>
      </x:c>
      <x:c r="J46" s="31" t="str">
        <x:f>IFERROR(INDEX('Rayonnement - Matrice'!$J$5:$J$32,MATCH(D46,'Rayonnement - Matrice'!$A$5:$A$32,0)),"")</x:f>
        <x:v>Échelle progressive 2/3.</x:v>
      </x:c>
    </x:row>
    <x:row r="47" ht="36" customHeight="1"/>
    <x:row r="48" ht="36" customHeight="1">
      <x:c r="A48" s="10" t="inlineStr">
        <x:is>
          <x:t xml:space="preserve">Calcul du Rayonnement</x:t>
        </x:is>
      </x:c>
    </x:row>
    <x:row r="49" ht="36" customHeight="1">
      <x:c r="A49" s="19" t="inlineStr">
        <x:is>
          <x:t xml:space="preserve">Dimension</x:t>
        </x:is>
      </x:c>
      <x:c r="B49" s="20" t="inlineStr">
        <x:is>
          <x:t xml:space="preserve">Score</x:t>
        </x:is>
      </x:c>
      <x:c r="C49" s="20" t="inlineStr">
        <x:is>
          <x:t xml:space="preserve">Poids global</x:t>
        </x:is>
      </x:c>
      <x:c r="D49" s="20" t="inlineStr">
        <x:is>
          <x:t xml:space="preserve">Contribution</x:t>
        </x:is>
      </x:c>
      <x:c r="E49" s="21" t="inlineStr">
        <x:is>
          <x:t xml:space="preserve">Source</x:t>
        </x:is>
      </x:c>
      <x:c r="G49" s="19" t="inlineStr">
        <x:is>
          <x:t xml:space="preserve">Aide technique</x:t>
        </x:is>
      </x:c>
      <x:c r="H49" s="21" t="inlineStr">
        <x:is>
          <x:t xml:space="preserve">Valeur</x:t>
        </x:is>
      </x:c>
    </x:row>
    <x:row r="50" ht="36" customHeight="1">
      <x:c r="A50" s="29" t="inlineStr">
        <x:is>
          <x:t xml:space="preserve">Notoriété</x:t>
        </x:is>
      </x:c>
      <x:c r="B50" s="128" t="n">
        <x:f>F40/3*100</x:f>
        <x:v>66.66666666666666</x:v>
      </x:c>
      <x:c r="C50" s="131" t="n">
        <x:v>0.2</x:v>
      </x:c>
      <x:c r="D50" s="128" t="n">
        <x:f>B50*C50</x:f>
        <x:v>13.333333333333332</x:v>
      </x:c>
      <x:c r="E50" s="29" t="inlineStr">
        <x:is>
          <x:t xml:space="preserve">R1</x:t>
        </x:is>
      </x:c>
      <x:c r="G50" s="29" t="inlineStr">
        <x:is>
          <x:t xml:space="preserve">Seuil suivant</x:t>
        </x:is>
      </x:c>
      <x:c r="H50" s="29" t="n">
        <x:f>IF($B$5&gt;=80,100,IF($B$5&gt;=60,80,IF($B$5&gt;=40,60,IF($B$5&gt;=20,40,20))))</x:f>
        <x:v>80</x:v>
      </x:c>
    </x:row>
    <x:row r="51" ht="36" customHeight="1">
      <x:c r="A51" s="30" t="inlineStr">
        <x:is>
          <x:t xml:space="preserve">Lecture concurrentielle</x:t>
        </x:is>
      </x:c>
      <x:c r="B51" s="129" t="n">
        <x:f>F41/3*100</x:f>
        <x:v>66.66666666666666</x:v>
      </x:c>
      <x:c r="C51" s="132" t="n">
        <x:v>0.15</x:v>
      </x:c>
      <x:c r="D51" s="129" t="n">
        <x:f>B51*C51</x:f>
        <x:v>9.999999999999998</x:v>
      </x:c>
      <x:c r="E51" s="30" t="inlineStr">
        <x:is>
          <x:t xml:space="preserve">R2</x:t>
        </x:is>
      </x:c>
      <x:c r="G51" s="30" t="inlineStr">
        <x:is>
          <x:t xml:space="preserve">Dimensions au seuil</x:t>
        </x:is>
      </x:c>
      <x:c r="H51" s="30" t="n">
        <x:f>COUNTIF($B$50:$B$54,"&gt;="&amp;H50)</x:f>
        <x:v>0</x:v>
      </x:c>
    </x:row>
    <x:row r="52" ht="36" customHeight="1">
      <x:c r="A52" s="30" t="inlineStr">
        <x:is>
          <x:t xml:space="preserve">Différenciation</x:t>
        </x:is>
      </x:c>
      <x:c r="B52" s="129" t="n">
        <x:f>F43/3*100</x:f>
        <x:v>66.66666666666666</x:v>
      </x:c>
      <x:c r="C52" s="132" t="n">
        <x:v>0.25</x:v>
      </x:c>
      <x:c r="D52" s="129" t="n">
        <x:f>B52*C52</x:f>
        <x:v>16.666666666666664</x:v>
      </x:c>
      <x:c r="E52" s="30" t="inlineStr">
        <x:is>
          <x:t xml:space="preserve">R4</x:t>
        </x:is>
      </x:c>
      <x:c r="G52" s="31" t="inlineStr">
        <x:is>
          <x:t xml:space="preserve">Dimension minimale</x:t>
        </x:is>
      </x:c>
      <x:c r="H52" s="31" t="n">
        <x:f>MIN($B$50:$B$54)</x:f>
        <x:v>66.66666666666666</x:v>
      </x:c>
    </x:row>
    <x:row r="53" ht="36" customHeight="1">
      <x:c r="A53" s="30" t="inlineStr">
        <x:is>
          <x:t xml:space="preserve">Digital</x:t>
        </x:is>
      </x:c>
      <x:c r="B53" s="129" t="n">
        <x:f>F44/3*100*60%+F45/3*100*40%</x:f>
        <x:v>66.66666666666666</x:v>
      </x:c>
      <x:c r="C53" s="132" t="n">
        <x:v>0.2</x:v>
      </x:c>
      <x:c r="D53" s="129" t="n">
        <x:f>B53*C53</x:f>
        <x:v>13.333333333333332</x:v>
      </x:c>
      <x:c r="E53" s="30" t="inlineStr">
        <x:is>
          <x:t xml:space="preserve">R5 × 60 % + R6 × 40 %</x:t>
        </x:is>
      </x:c>
    </x:row>
    <x:row r="54" ht="36" customHeight="1">
      <x:c r="A54" s="31" t="inlineStr">
        <x:is>
          <x:t xml:space="preserve">Empreinte</x:t>
        </x:is>
      </x:c>
      <x:c r="B54" s="130" t="n">
        <x:f>F46/3*100</x:f>
        <x:v>66.66666666666666</x:v>
      </x:c>
      <x:c r="C54" s="133" t="n">
        <x:v>0.2</x:v>
      </x:c>
      <x:c r="D54" s="130" t="n">
        <x:f>B54*C54</x:f>
        <x:v>13.333333333333332</x:v>
      </x:c>
      <x:c r="E54" s="31" t="inlineStr">
        <x:is>
          <x:t xml:space="preserve">R7</x:t>
        </x:is>
      </x:c>
    </x:row>
  </x:sheetData>
  <x:mergeCells>
    <x:mergeCell ref="A1:M1"/>
    <x:mergeCell ref="H5:M5"/>
    <x:mergeCell ref="I6:M6"/>
    <x:mergeCell ref="A25:E25"/>
    <x:mergeCell ref="B6:E6"/>
    <x:mergeCell ref="J3:M3"/>
    <x:mergeCell ref="A48:F48"/>
    <x:mergeCell ref="G25:J25"/>
    <x:mergeCell ref="A2:M2"/>
  </x:mergeCells>
  <x:dataValidations count="2">
    <x:dataValidation type="list" allowBlank="0" showDropDown="0" showInputMessage="0" showErrorMessage="0" sqref="C10:C23">
      <x:formula1>"A,B,C,D"</x:formula1>
    </x:dataValidation>
    <x:dataValidation type="list" allowBlank="0" showDropDown="0" showInputMessage="0" showErrorMessage="0" sqref="C40:C46">
      <x:formula1>"A,B,C,D"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.889999866485596" customWidth="1"/>
    <x:col min="2" max="2" width="24.219999313354492" customWidth="1"/>
    <x:col min="3" max="3" width="11.670000076293945" customWidth="1"/>
    <x:col min="4" max="4" width="31.670000076293945" customWidth="1"/>
    <x:col min="5" max="5" width="33.33000183105469" customWidth="1"/>
    <x:col min="6" max="6" width="31.670000076293945" customWidth="1"/>
    <x:col min="13" max="13" width="12.779999732971191" customWidth="1"/>
    <x:col min="14" max="14" width="12.779999732971191" customWidth="1"/>
    <x:col min="15" max="15" width="12.779999732971191" customWidth="1"/>
    <x:col min="16" max="16" width="12.779999732971191" customWidth="1"/>
    <x:col min="17" max="17" width="24.440000534057617" customWidth="1"/>
    <x:col min="18" max="18" width="24.440000534057617" customWidth="1"/>
    <x:col min="19" max="19" width="24.440000534057617" customWidth="1"/>
    <x:col min="20" max="20" width="24.440000534057617" customWidth="1"/>
    <x:col min="21" max="21" width="24.440000534057617" customWidth="1"/>
    <x:col min="22" max="22" width="24.440000534057617" customWidth="1"/>
    <x:col min="23" max="23" width="24.440000534057617" customWidth="1"/>
    <x:col min="24" max="24" width="12.779999732971191" customWidth="1"/>
    <x:col min="25" max="25" width="12.779999732971191" customWidth="1"/>
  </x:cols>
  <x:sheetData>
    <x:row r="1" ht="31.5" customHeight="1">
      <x:c r="A1" s="3" t="inlineStr">
        <x:is>
          <x:t xml:space="preserve">Fiche de diagnostic commercial du prospect</x:t>
        </x:is>
      </x:c>
    </x:row>
    <x:row r="2">
      <x:c r="A2" s="7" t="inlineStr">
        <x:is>
          <x:t xml:space="preserve">Lecture générée à partir des réponses déclarées. Elle prépare l’échange commercial : elle décrit des difficultés concrètes et des pistes à vérifier, sans recommander de produit.</x:t>
        </x:is>
      </x:c>
    </x:row>
    <x:row r="3"/>
    <x:row r="4">
      <x:c r="M4" s="19" t="inlineStr">
        <x:is>
          <x:t xml:space="preserve">Code</x:t>
        </x:is>
      </x:c>
      <x:c r="N4" s="20" t="inlineStr">
        <x:is>
          <x:t xml:space="preserve">Parcours</x:t>
        </x:is>
      </x:c>
      <x:c r="O4" s="20" t="inlineStr">
        <x:is>
          <x:t xml:space="preserve">Dimension</x:t>
        </x:is>
      </x:c>
      <x:c r="P4" s="20" t="inlineStr">
        <x:is>
          <x:t xml:space="preserve">Nature</x:t>
        </x:is>
      </x:c>
      <x:c r="Q4" s="20" t="inlineStr">
        <x:is>
          <x:t xml:space="preserve">Gravité</x:t>
        </x:is>
      </x:c>
      <x:c r="R4" s="20" t="inlineStr">
        <x:is>
          <x:t xml:space="preserve">Niveau</x:t>
        </x:is>
      </x:c>
      <x:c r="S4" s="20" t="inlineStr">
        <x:is>
          <x:t xml:space="preserve">Constat</x:t>
        </x:is>
      </x:c>
      <x:c r="T4" s="20" t="inlineStr">
        <x:is>
          <x:t xml:space="preserve">Difficulté</x:t>
        </x:is>
      </x:c>
      <x:c r="U4" s="20" t="inlineStr">
        <x:is>
          <x:t xml:space="preserve">Hypothèse</x:t>
        </x:is>
      </x:c>
      <x:c r="V4" s="20" t="inlineStr">
        <x:is>
          <x:t xml:space="preserve">Relance</x:t>
        </x:is>
      </x:c>
      <x:c r="W4" s="20" t="inlineStr">
        <x:is>
          <x:t xml:space="preserve">Réponse</x:t>
        </x:is>
      </x:c>
      <x:c r="X4" s="20" t="inlineStr">
        <x:is>
          <x:t xml:space="preserve">Rang difficulté</x:t>
        </x:is>
      </x:c>
      <x:c r="Y4" s="21" t="inlineStr">
        <x:is>
          <x:t xml:space="preserve">Rang force</x:t>
        </x:is>
      </x:c>
    </x:row>
    <x:row r="5" ht="31.5" customHeight="1">
      <x:c r="A5" s="59" t="inlineStr">
        <x:is>
          <x:t xml:space="preserve">Profil</x:t>
        </x:is>
      </x:c>
      <x:c r="B5" s="63" t="str">
        <x:f>'Simulateur'!B3</x:f>
        <x:v>Stratège</x:v>
      </x:c>
      <x:c r="C5" s="59" t="inlineStr">
        <x:is>
          <x:t xml:space="preserve">Pilotage</x:t>
        </x:is>
      </x:c>
      <x:c r="D5" s="124" t="n">
        <x:f>'Simulateur'!H3</x:f>
        <x:v>62.96296296296296</x:v>
      </x:c>
      <x:c r="E5" s="59" t="inlineStr">
        <x:is>
          <x:t xml:space="preserve">Niveau de pilotage</x:t>
        </x:is>
      </x:c>
      <x:c r="F5" s="112" t="str">
        <x:f>'Simulateur'!J3</x:f>
        <x:v>Pilotage partiellement structuré</x:v>
      </x:c>
      <x:c r="M5" s="29" t="str">
        <x:f>'Simulateur'!D10</x:f>
        <x:v>Q1B</x:v>
      </x:c>
      <x:c r="N5" s="29" t="str">
        <x:f>IFERROR(INDEX('Bibliothèque constats'!$B$5:$B$88,MATCH($M5,'Bibliothèque constats'!$A$5:$A$88,0)),"")</x:f>
        <x:v>Dirigeant</x:v>
      </x:c>
      <x:c r="O5" s="29" t="str">
        <x:f>IFERROR(INDEX('Bibliothèque constats'!$F$5:$F$88,MATCH($M5,'Bibliothèque constats'!$A$5:$A$88,0)),"")</x:f>
        <x:v>Décision</x:v>
      </x:c>
      <x:c r="P5" s="29" t="str">
        <x:f>IFERROR(INDEX('Bibliothèque constats'!$G$5:$G$88,MATCH($M5,'Bibliothèque constats'!$A$5:$A$88,0)),"")</x:f>
        <x:v>Signal déclaré</x:v>
      </x:c>
      <x:c r="Q5" s="29" t="n">
        <x:f>IFERROR(INDEX('Bibliothèque constats'!$H$5:$H$88,MATCH($M5,'Bibliothèque constats'!$A$5:$A$88,0)),"")</x:f>
        <x:v>0</x:v>
      </x:c>
      <x:c r="R5" s="29" t="str">
        <x:f>IFERROR(INDEX('Bibliothèque constats'!$I$5:$I$88,MATCH($M5,'Bibliothèque constats'!$A$5:$A$88,0)),"")</x:f>
        <x:v>Aucune alerte</x:v>
      </x:c>
      <x:c r="S5" s="29" t="str">
        <x:f>IFERROR(INDEX('Bibliothèque constats'!$J$5:$J$88,MATCH($M5,'Bibliothèque constats'!$A$5:$A$88,0)),"")</x:f>
        <x:v>Le prospect examine les chiffres avant d’investir.</x:v>
      </x:c>
      <x:c r="T5" s="29" t="str">
        <x:f>IFERROR(INDEX('Bibliothèque constats'!$K$5:$K$88,MATCH($M5,'Bibliothèque constats'!$A$5:$A$88,0)),"")</x:f>
      </x:c>
      <x:c r="U5" s="29" t="str">
        <x:f>IFERROR(INDEX('Bibliothèque constats'!$L$5:$L$88,MATCH($M5,'Bibliothèque constats'!$A$5:$A$88,0)),"")</x:f>
        <x:v>Il cherchera probablement des éléments quantifiables avant d’avancer.</x:v>
      </x:c>
      <x:c r="V5" s="29" t="str">
        <x:f>IFERROR(INDEX('Bibliothèque constats'!$M$5:$M$88,MATCH($M5,'Bibliothèque constats'!$A$5:$A$88,0)),"")</x:f>
        <x:v>Quels chiffres vous permettent aujourd’hui de juger qu’une décision est rentable ?</x:v>
      </x:c>
      <x:c r="W5" s="29" t="str">
        <x:f>IFERROR(INDEX('Bibliothèque constats'!$E$5:$E$88,MATCH($M5,'Bibliothèque constats'!$A$5:$A$88,0)),"")</x:f>
        <x:v>Je vérifie les chiffres avant de décider si elle mérite mon investissement.</x:v>
      </x:c>
      <x:c r="X5" s="29" t="n">
        <x:f>IF(AND(Q5&gt;0,T5&lt;&gt;""),Q5*1000-ROW(),0)</x:f>
        <x:v>0</x:v>
      </x:c>
      <x:c r="Y5" s="29" t="n">
        <x:f>IF(P5="Force",1000-ROW(),0)</x:f>
        <x:v>0</x:v>
      </x:c>
    </x:row>
    <x:row r="6" ht="31.5" customHeight="1">
      <x:c r="A6" s="59" t="inlineStr">
        <x:is>
          <x:t xml:space="preserve">Rayonnement</x:t>
        </x:is>
      </x:c>
      <x:c r="B6" s="124" t="n">
        <x:f>'Simulateur'!B5</x:f>
        <x:v>66.66666666666666</x:v>
      </x:c>
      <x:c r="C6" s="59" t="inlineStr">
        <x:is>
          <x:t xml:space="preserve">Niveau de rayonnement</x:t>
        </x:is>
      </x:c>
      <x:c r="D6" s="63" t="str">
        <x:f>'Simulateur'!D5</x:f>
        <x:v>Challenger fort</x:v>
      </x:c>
      <x:c r="E6" s="59" t="inlineStr">
        <x:is>
          <x:t xml:space="preserve">Lecture croisée</x:t>
        </x:is>
      </x:c>
      <x:c r="F6" s="115" t="str">
        <x:f>'Simulateur'!B6</x:f>
        <x:v>Cohérence consolidée</x:v>
      </x:c>
      <x:c r="M6" s="30" t="str">
        <x:f>'Simulateur'!D11</x:f>
        <x:v>Q2C</x:v>
      </x:c>
      <x:c r="N6" s="30" t="str">
        <x:f>IFERROR(INDEX('Bibliothèque constats'!$B$5:$B$88,MATCH($M6,'Bibliothèque constats'!$A$5:$A$88,0)),"")</x:f>
        <x:v>Dirigeant</x:v>
      </x:c>
      <x:c r="O6" s="30" t="str">
        <x:f>IFERROR(INDEX('Bibliothèque constats'!$F$5:$F$88,MATCH($M6,'Bibliothèque constats'!$A$5:$A$88,0)),"")</x:f>
        <x:v>Croissance</x:v>
      </x:c>
      <x:c r="P6" s="30" t="str">
        <x:f>IFERROR(INDEX('Bibliothèque constats'!$G$5:$G$88,MATCH($M6,'Bibliothèque constats'!$A$5:$A$88,0)),"")</x:f>
        <x:v>Signal déclaré</x:v>
      </x:c>
      <x:c r="Q6" s="30" t="n">
        <x:f>IFERROR(INDEX('Bibliothèque constats'!$H$5:$H$88,MATCH($M6,'Bibliothèque constats'!$A$5:$A$88,0)),"")</x:f>
        <x:v>0</x:v>
      </x:c>
      <x:c r="R6" s="30" t="str">
        <x:f>IFERROR(INDEX('Bibliothèque constats'!$I$5:$I$88,MATCH($M6,'Bibliothèque constats'!$A$5:$A$88,0)),"")</x:f>
        <x:v>Aucune alerte</x:v>
      </x:c>
      <x:c r="S6" s="30" t="str">
        <x:f>IFERROR(INDEX('Bibliothèque constats'!$J$5:$J$88,MATCH($M6,'Bibliothèque constats'!$A$5:$A$88,0)),"")</x:f>
        <x:v>En période de croissance, sa priorité est de préserver l’expérience client.</x:v>
      </x:c>
      <x:c r="T6" s="30" t="str">
        <x:f>IFERROR(INDEX('Bibliothèque constats'!$K$5:$K$88,MATCH($M6,'Bibliothèque constats'!$A$5:$A$88,0)),"")</x:f>
      </x:c>
      <x:c r="U6" s="30" t="str">
        <x:f>IFERROR(INDEX('Bibliothèque constats'!$L$5:$L$88,MATCH($M6,'Bibliothèque constats'!$A$5:$A$88,0)),"")</x:f>
        <x:v>Il pourrait arbitrer les outils et processus selon leur impact sur le client.</x:v>
      </x:c>
      <x:c r="V6" s="30" t="str">
        <x:f>IFERROR(INDEX('Bibliothèque constats'!$M$5:$M$88,MATCH($M6,'Bibliothèque constats'!$A$5:$A$88,0)),"")</x:f>
        <x:v>À quel moment l’augmentation des commandes commence-t-elle à affecter vos clients ?</x:v>
      </x:c>
      <x:c r="W6" s="30" t="str">
        <x:f>IFERROR(INDEX('Bibliothèque constats'!$E$5:$E$88,MATCH($M6,'Bibliothèque constats'!$A$5:$A$88,0)),"")</x:f>
        <x:v>Je veille surtout à maintenir une bonne expérience pour mes clients.</x:v>
      </x:c>
      <x:c r="X6" s="30" t="n">
        <x:f>IF(AND(Q6&gt;0,T6&lt;&gt;""),Q6*1000-ROW(),0)</x:f>
        <x:v>0</x:v>
      </x:c>
      <x:c r="Y6" s="30" t="n">
        <x:f>IF(P6="Force",1000-ROW(),0)</x:f>
        <x:v>0</x:v>
      </x:c>
    </x:row>
    <x:row r="7">
      <x:c r="M7" s="30" t="str">
        <x:f>'Simulateur'!D12</x:f>
        <x:v>Q3B</x:v>
      </x:c>
      <x:c r="N7" s="30" t="str">
        <x:f>IFERROR(INDEX('Bibliothèque constats'!$B$5:$B$88,MATCH($M7,'Bibliothèque constats'!$A$5:$A$88,0)),"")</x:f>
        <x:v>Dirigeant</x:v>
      </x:c>
      <x:c r="O7" s="30" t="str">
        <x:f>IFERROR(INDEX('Bibliothèque constats'!$F$5:$F$88,MATCH($M7,'Bibliothèque constats'!$A$5:$A$88,0)),"")</x:f>
        <x:v>Décision</x:v>
      </x:c>
      <x:c r="P7" s="30" t="str">
        <x:f>IFERROR(INDEX('Bibliothèque constats'!$G$5:$G$88,MATCH($M7,'Bibliothèque constats'!$A$5:$A$88,0)),"")</x:f>
        <x:v>Signal déclaré</x:v>
      </x:c>
      <x:c r="Q7" s="30" t="n">
        <x:f>IFERROR(INDEX('Bibliothèque constats'!$H$5:$H$88,MATCH($M7,'Bibliothèque constats'!$A$5:$A$88,0)),"")</x:f>
        <x:v>0</x:v>
      </x:c>
      <x:c r="R7" s="30" t="str">
        <x:f>IFERROR(INDEX('Bibliothèque constats'!$I$5:$I$88,MATCH($M7,'Bibliothèque constats'!$A$5:$A$88,0)),"")</x:f>
        <x:v>Aucune alerte</x:v>
      </x:c>
      <x:c r="S7" s="30" t="str">
        <x:f>IFERROR(INDEX('Bibliothèque constats'!$J$5:$J$88,MATCH($M7,'Bibliothèque constats'!$A$5:$A$88,0)),"")</x:f>
        <x:v>En situation d’incertitude, il attend des données plus fiables.</x:v>
      </x:c>
      <x:c r="T7" s="30" t="str">
        <x:f>IFERROR(INDEX('Bibliothèque constats'!$K$5:$K$88,MATCH($M7,'Bibliothèque constats'!$A$5:$A$88,0)),"")</x:f>
      </x:c>
      <x:c r="U7" s="30" t="str">
        <x:f>IFERROR(INDEX('Bibliothèque constats'!$L$5:$L$88,MATCH($M7,'Bibliothèque constats'!$A$5:$A$88,0)),"")</x:f>
        <x:v>L’accès ou la qualité des données peut ralentir certaines décisions.</x:v>
      </x:c>
      <x:c r="V7" s="30" t="str">
        <x:f>IFERROR(INDEX('Bibliothèque constats'!$M$5:$M$88,MATCH($M7,'Bibliothèque constats'!$A$5:$A$88,0)),"")</x:f>
        <x:v>Quelles données vous manquent le plus souvent au moment de décider ?</x:v>
      </x:c>
      <x:c r="W7" s="30" t="str">
        <x:f>IFERROR(INDEX('Bibliothèque constats'!$E$5:$E$88,MATCH($M7,'Bibliothèque constats'!$A$5:$A$88,0)),"")</x:f>
        <x:v>Je préfère attendre d’avoir des données plus fiables avant de me prononcer.</x:v>
      </x:c>
      <x:c r="X7" s="30" t="n">
        <x:f>IF(AND(Q7&gt;0,T7&lt;&gt;""),Q7*1000-ROW(),0)</x:f>
        <x:v>0</x:v>
      </x:c>
      <x:c r="Y7" s="30" t="n">
        <x:f>IF(P7="Force",1000-ROW(),0)</x:f>
        <x:v>0</x:v>
      </x:c>
    </x:row>
    <x:row r="8" ht="25.5" customHeight="1">
      <x:c r="A8" s="10" t="inlineStr">
        <x:is>
          <x:t xml:space="preserve">Difficultés prioritaires détectées</x:t>
        </x:is>
      </x:c>
      <x:c r="M8" s="30" t="str">
        <x:f>'Simulateur'!D13</x:f>
        <x:v>Q4A</x:v>
      </x:c>
      <x:c r="N8" s="30" t="str">
        <x:f>IFERROR(INDEX('Bibliothèque constats'!$B$5:$B$88,MATCH($M8,'Bibliothèque constats'!$A$5:$A$88,0)),"")</x:f>
        <x:v>Dirigeant</x:v>
      </x:c>
      <x:c r="O8" s="30" t="str">
        <x:f>IFERROR(INDEX('Bibliothèque constats'!$F$5:$F$88,MATCH($M8,'Bibliothèque constats'!$A$5:$A$88,0)),"")</x:f>
        <x:v>Suivi des ventes</x:v>
      </x:c>
      <x:c r="P8" s="30" t="str">
        <x:f>IFERROR(INDEX('Bibliothèque constats'!$G$5:$G$88,MATCH($M8,'Bibliothèque constats'!$A$5:$A$88,0)),"")</x:f>
        <x:v>Force</x:v>
      </x:c>
      <x:c r="Q8" s="30" t="n">
        <x:f>IFERROR(INDEX('Bibliothèque constats'!$H$5:$H$88,MATCH($M8,'Bibliothèque constats'!$A$5:$A$88,0)),"")</x:f>
        <x:v>0</x:v>
      </x:c>
      <x:c r="R8" s="30" t="str">
        <x:f>IFERROR(INDEX('Bibliothèque constats'!$I$5:$I$88,MATCH($M8,'Bibliothèque constats'!$A$5:$A$88,0)),"")</x:f>
        <x:v>Aucune alerte</x:v>
      </x:c>
      <x:c r="S8" s="30" t="str">
        <x:f>IFERROR(INDEX('Bibliothèque constats'!$J$5:$J$88,MATCH($M8,'Bibliothèque constats'!$A$5:$A$88,0)),"")</x:f>
        <x:v>Les ventes sont suivies régulièrement dans un outil centralisé.</x:v>
      </x:c>
      <x:c r="T8" s="30" t="str">
        <x:f>IFERROR(INDEX('Bibliothèque constats'!$K$5:$K$88,MATCH($M8,'Bibliothèque constats'!$A$5:$A$88,0)),"")</x:f>
      </x:c>
      <x:c r="U8" s="30" t="str">
        <x:f>IFERROR(INDEX('Bibliothèque constats'!$L$5:$L$88,MATCH($M8,'Bibliothèque constats'!$A$5:$A$88,0)),"")</x:f>
      </x:c>
      <x:c r="V8" s="30" t="str">
        <x:f>IFERROR(INDEX('Bibliothèque constats'!$M$5:$M$88,MATCH($M8,'Bibliothèque constats'!$A$5:$A$88,0)),"")</x:f>
        <x:v>Quelles informations consultez-vous le plus souvent dans cet outil ?</x:v>
      </x:c>
      <x:c r="W8" s="30" t="str">
        <x:f>IFERROR(INDEX('Bibliothèque constats'!$E$5:$E$88,MATCH($M8,'Bibliothèque constats'!$A$5:$A$88,0)),"")</x:f>
        <x:v>Je consulte régulièrement un outil qui centralise toutes mes ventes.</x:v>
      </x:c>
      <x:c r="X8" s="30" t="n">
        <x:f>IF(AND(Q8&gt;0,T8&lt;&gt;""),Q8*1000-ROW(),0)</x:f>
        <x:v>0</x:v>
      </x:c>
      <x:c r="Y8" s="30" t="n">
        <x:f>IF(P8="Force",1000-ROW(),0)</x:f>
        <x:v>992</x:v>
      </x:c>
    </x:row>
    <x:row r="9" ht="28.5" customHeight="1">
      <x:c r="A9" s="19" t="inlineStr">
        <x:is>
          <x:t xml:space="preserve">#</x:t>
        </x:is>
      </x:c>
      <x:c r="B9" s="20" t="inlineStr">
        <x:is>
          <x:t xml:space="preserve">Difficulté précise</x:t>
        </x:is>
      </x:c>
      <x:c r="C9" s="20" t="inlineStr">
        <x:is>
          <x:t xml:space="preserve">Gravité</x:t>
        </x:is>
      </x:c>
      <x:c r="D9" s="20" t="inlineStr">
        <x:is>
          <x:t xml:space="preserve">Constat factuel</x:t>
        </x:is>
      </x:c>
      <x:c r="E9" s="20" t="inlineStr">
        <x:is>
          <x:t xml:space="preserve">Réponse sélectionnée</x:t>
        </x:is>
      </x:c>
      <x:c r="F9" s="21" t="inlineStr">
        <x:is>
          <x:t xml:space="preserve">Question de relance</x:t>
        </x:is>
      </x:c>
      <x:c r="M9" s="30" t="str">
        <x:f>'Simulateur'!D14</x:f>
        <x:v>Q5D</x:v>
      </x:c>
      <x:c r="N9" s="30" t="str">
        <x:f>IFERROR(INDEX('Bibliothèque constats'!$B$5:$B$88,MATCH($M9,'Bibliothèque constats'!$A$5:$A$88,0)),"")</x:f>
        <x:v>Dirigeant</x:v>
      </x:c>
      <x:c r="O9" s="30" t="str">
        <x:f>IFERROR(INDEX('Bibliothèque constats'!$F$5:$F$88,MATCH($M9,'Bibliothèque constats'!$A$5:$A$88,0)),"")</x:f>
        <x:v>Écarts d’encaissement</x:v>
      </x:c>
      <x:c r="P9" s="30" t="str">
        <x:f>IFERROR(INDEX('Bibliothèque constats'!$G$5:$G$88,MATCH($M9,'Bibliothèque constats'!$A$5:$A$88,0)),"")</x:f>
        <x:v>Difficulté</x:v>
      </x:c>
      <x:c r="Q9" s="30" t="n">
        <x:f>IFERROR(INDEX('Bibliothèque constats'!$H$5:$H$88,MATCH($M9,'Bibliothèque constats'!$A$5:$A$88,0)),"")</x:f>
        <x:v>3</x:v>
      </x:c>
      <x:c r="R9" s="30" t="str">
        <x:f>IFERROR(INDEX('Bibliothèque constats'!$I$5:$I$88,MATCH($M9,'Bibliothèque constats'!$A$5:$A$88,0)),"")</x:f>
        <x:v>Élevée</x:v>
      </x:c>
      <x:c r="S9" s="30" t="str">
        <x:f>IFERROR(INDEX('Bibliothèque constats'!$J$5:$J$88,MATCH($M9,'Bibliothèque constats'!$A$5:$A$88,0)),"")</x:f>
        <x:v>Les éléments disponibles ne permettent pas d’expliquer immédiatement un écart.</x:v>
      </x:c>
      <x:c r="T9" s="30" t="str">
        <x:f>IFERROR(INDEX('Bibliothèque constats'!$K$5:$K$88,MATCH($M9,'Bibliothèque constats'!$A$5:$A$88,0)),"")</x:f>
        <x:v>Certains écarts d’encaissement restent difficiles à retracer.</x:v>
      </x:c>
      <x:c r="U9" s="30" t="str">
        <x:f>IFERROR(INDEX('Bibliothèque constats'!$L$5:$L$88,MATCH($M9,'Bibliothèque constats'!$A$5:$A$88,0)),"")</x:f>
        <x:v>Des ventes ou paiements peuvent rester sans explication fiable.</x:v>
      </x:c>
      <x:c r="V9" s="30" t="str">
        <x:f>IFERROR(INDEX('Bibliothèque constats'!$M$5:$M$88,MATCH($M9,'Bibliothèque constats'!$A$5:$A$88,0)),"")</x:f>
        <x:v>Quel est le dernier écart que vous n’avez pas pu expliquer complètement ?</x:v>
      </x:c>
      <x:c r="W9" s="30" t="str">
        <x:f>IFERROR(INDEX('Bibliothèque constats'!$E$5:$E$88,MATCH($M9,'Bibliothèque constats'!$A$5:$A$88,0)),"")</x:f>
        <x:v>Je n’ai pas toujours les éléments nécessaires pour expliquer immédiatement l’écart.</x:v>
      </x:c>
      <x:c r="X9" s="30" t="n">
        <x:f>IF(AND(Q9&gt;0,T9&lt;&gt;""),Q9*1000-ROW(),0)</x:f>
        <x:v>2991</x:v>
      </x:c>
      <x:c r="Y9" s="30" t="n">
        <x:f>IF(P9="Force",1000-ROW(),0)</x:f>
        <x:v>0</x:v>
      </x:c>
    </x:row>
    <x:row r="10" ht="49.5" customHeight="1">
      <x:c r="A10" s="29" t="n">
        <x:f>IF(LARGE($X$5:$X$25,1)&lt;=0,"",1)</x:f>
        <x:v>1</x:v>
      </x:c>
      <x:c r="B10" s="29" t="str">
        <x:f>IFERROR(IF(LARGE($X$5:$X$25,1)&lt;=0,"",INDEX($T$5:$T$25,MATCH(LARGE($X$5:$X$25,1),$X$5:$X$25,0))),"")</x:f>
        <x:v>Certains écarts d’encaissement restent difficiles à retracer.</x:v>
      </x:c>
      <x:c r="C10" s="29" t="str">
        <x:f>IFERROR(IF(LARGE($X$5:$X$25,1)&lt;=0,"",INDEX($R$5:$R$25,MATCH(LARGE($X$5:$X$25,1),$X$5:$X$25,0))),"")</x:f>
        <x:v>Élevée</x:v>
      </x:c>
      <x:c r="D10" s="29" t="str">
        <x:f>IFERROR(IF(LARGE($X$5:$X$25,1)&lt;=0,"",INDEX($S$5:$S$25,MATCH(LARGE($X$5:$X$25,1),$X$5:$X$25,0))),"")</x:f>
        <x:v>Les éléments disponibles ne permettent pas d’expliquer immédiatement un écart.</x:v>
      </x:c>
      <x:c r="E10" s="29" t="str">
        <x:f>IFERROR(IF(LARGE($X$5:$X$25,1)&lt;=0,"",INDEX($W$5:$W$25,MATCH(LARGE($X$5:$X$25,1),$X$5:$X$25,0))),"")</x:f>
        <x:v>Je n’ai pas toujours les éléments nécessaires pour expliquer immédiatement l’écart.</x:v>
      </x:c>
      <x:c r="F10" s="29" t="str">
        <x:f>IFERROR(IF(LARGE($X$5:$X$25,1)&lt;=0,"",INDEX($V$5:$V$25,MATCH(LARGE($X$5:$X$25,1),$X$5:$X$25,0))),"")</x:f>
        <x:v>Quel est le dernier écart que vous n’avez pas pu expliquer complètement ?</x:v>
      </x:c>
      <x:c r="M10" s="30" t="str">
        <x:f>'Simulateur'!D15</x:f>
        <x:v>Q6B</x:v>
      </x:c>
      <x:c r="N10" s="30" t="str">
        <x:f>IFERROR(INDEX('Bibliothèque constats'!$B$5:$B$88,MATCH($M10,'Bibliothèque constats'!$A$5:$A$88,0)),"")</x:f>
        <x:v>Dirigeant</x:v>
      </x:c>
      <x:c r="O10" s="30" t="str">
        <x:f>IFERROR(INDEX('Bibliothèque constats'!$F$5:$F$88,MATCH($M10,'Bibliothèque constats'!$A$5:$A$88,0)),"")</x:f>
        <x:v>Centralisation des paiements</x:v>
      </x:c>
      <x:c r="P10" s="30" t="str">
        <x:f>IFERROR(INDEX('Bibliothèque constats'!$G$5:$G$88,MATCH($M10,'Bibliothèque constats'!$A$5:$A$88,0)),"")</x:f>
        <x:v>Difficulté</x:v>
      </x:c>
      <x:c r="Q10" s="30" t="n">
        <x:f>IFERROR(INDEX('Bibliothèque constats'!$H$5:$H$88,MATCH($M10,'Bibliothèque constats'!$A$5:$A$88,0)),"")</x:f>
        <x:v>1</x:v>
      </x:c>
      <x:c r="R10" s="30" t="str">
        <x:f>IFERROR(INDEX('Bibliothèque constats'!$I$5:$I$88,MATCH($M10,'Bibliothèque constats'!$A$5:$A$88,0)),"")</x:f>
        <x:v>Légère</x:v>
      </x:c>
      <x:c r="S10" s="30" t="str">
        <x:f>IFERROR(INDEX('Bibliothèque constats'!$J$5:$J$88,MATCH($M10,'Bibliothèque constats'!$A$5:$A$88,0)),"")</x:f>
        <x:v>Chaque moyen de paiement est consulté séparément.</x:v>
      </x:c>
      <x:c r="T10" s="30" t="str">
        <x:f>IFERROR(INDEX('Bibliothèque constats'!$K$5:$K$88,MATCH($M10,'Bibliothèque constats'!$A$5:$A$88,0)),"")</x:f>
        <x:v>La vue des encaissements est fragmentée entre plusieurs canaux.</x:v>
      </x:c>
      <x:c r="U10" s="30" t="str">
        <x:f>IFERROR(INDEX('Bibliothèque constats'!$L$5:$L$88,MATCH($M10,'Bibliothèque constats'!$A$5:$A$88,0)),"")</x:f>
        <x:v>Obtenir un total fiable nécessite plusieurs vérifications.</x:v>
      </x:c>
      <x:c r="V10" s="30" t="str">
        <x:f>IFERROR(INDEX('Bibliothèque constats'!$M$5:$M$88,MATCH($M10,'Bibliothèque constats'!$A$5:$A$88,0)),"")</x:f>
        <x:v>Combien de comptes ou d’interfaces devez-vous consulter pour faire un point complet ?</x:v>
      </x:c>
      <x:c r="W10" s="30" t="str">
        <x:f>IFERROR(INDEX('Bibliothèque constats'!$E$5:$E$88,MATCH($M10,'Bibliothèque constats'!$A$5:$A$88,0)),"")</x:f>
        <x:v>Je vérifie séparément le solde de chaque moyen de paiement.</x:v>
      </x:c>
      <x:c r="X10" s="30" t="n">
        <x:f>IF(AND(Q10&gt;0,T10&lt;&gt;""),Q10*1000-ROW(),0)</x:f>
        <x:v>990</x:v>
      </x:c>
      <x:c r="Y10" s="30" t="n">
        <x:f>IF(P10="Force",1000-ROW(),0)</x:f>
        <x:v>0</x:v>
      </x:c>
    </x:row>
    <x:row r="11" ht="49.5" customHeight="1">
      <x:c r="A11" s="30" t="n">
        <x:f>IF(LARGE($X$5:$X$25,2)&lt;=0,"",2)</x:f>
        <x:v>2</x:v>
      </x:c>
      <x:c r="B11" s="30" t="str">
        <x:f>IFERROR(IF(LARGE($X$5:$X$25,2)&lt;=0,"",INDEX($T$5:$T$25,MATCH(LARGE($X$5:$X$25,2),$X$5:$X$25,0))),"")</x:f>
        <x:v>La comptabilité dépend de reconstitutions a posteriori.</x:v>
      </x:c>
      <x:c r="C11" s="30" t="str">
        <x:f>IFERROR(IF(LARGE($X$5:$X$25,2)&lt;=0,"",INDEX($R$5:$R$25,MATCH(LARGE($X$5:$X$25,2),$X$5:$X$25,0))),"")</x:f>
        <x:v>Élevée</x:v>
      </x:c>
      <x:c r="D11" s="30" t="str">
        <x:f>IFERROR(IF(LARGE($X$5:$X$25,2)&lt;=0,"",INDEX($S$5:$S$25,MATCH(LARGE($X$5:$X$25,2),$X$5:$X$25,0))),"")</x:f>
        <x:v>Certaines opérations doivent être reconstituées après leur réalisation.</x:v>
      </x:c>
      <x:c r="E11" s="30" t="str">
        <x:f>IFERROR(IF(LARGE($X$5:$X$25,2)&lt;=0,"",INDEX($W$5:$W$25,MATCH(LARGE($X$5:$X$25,2),$X$5:$X$25,0))),"")</x:f>
        <x:v>Je dois souvent reconstituer certaines opérations après leur réalisation.</x:v>
      </x:c>
      <x:c r="F11" s="30" t="str">
        <x:f>IFERROR(IF(LARGE($X$5:$X$25,2)&lt;=0,"",INDEX($V$5:$V$25,MATCH(LARGE($X$5:$X$25,2),$X$5:$X$25,0))),"")</x:f>
        <x:v>Quelles opérations sont les plus difficiles à reconstituer en fin de période ?</x:v>
      </x:c>
      <x:c r="M11" s="30" t="str">
        <x:f>'Simulateur'!D16</x:f>
        <x:v>Q7A</x:v>
      </x:c>
      <x:c r="N11" s="30" t="str">
        <x:f>IFERROR(INDEX('Bibliothèque constats'!$B$5:$B$88,MATCH($M11,'Bibliothèque constats'!$A$5:$A$88,0)),"")</x:f>
        <x:v>Dirigeant</x:v>
      </x:c>
      <x:c r="O11" s="30" t="str">
        <x:f>IFERROR(INDEX('Bibliothèque constats'!$F$5:$F$88,MATCH($M11,'Bibliothèque constats'!$A$5:$A$88,0)),"")</x:f>
        <x:v>Trésorerie</x:v>
      </x:c>
      <x:c r="P11" s="30" t="str">
        <x:f>IFERROR(INDEX('Bibliothèque constats'!$G$5:$G$88,MATCH($M11,'Bibliothèque constats'!$A$5:$A$88,0)),"")</x:f>
        <x:v>Force</x:v>
      </x:c>
      <x:c r="Q11" s="30" t="n">
        <x:f>IFERROR(INDEX('Bibliothèque constats'!$H$5:$H$88,MATCH($M11,'Bibliothèque constats'!$A$5:$A$88,0)),"")</x:f>
        <x:v>0</x:v>
      </x:c>
      <x:c r="R11" s="30" t="str">
        <x:f>IFERROR(INDEX('Bibliothèque constats'!$I$5:$I$88,MATCH($M11,'Bibliothèque constats'!$A$5:$A$88,0)),"")</x:f>
        <x:v>Aucune alerte</x:v>
      </x:c>
      <x:c r="S11" s="30" t="str">
        <x:f>IFERROR(INDEX('Bibliothèque constats'!$J$5:$J$88,MATCH($M11,'Bibliothèque constats'!$A$5:$A$88,0)),"")</x:f>
        <x:v>La trésorerie disponible peut être consultée à tout moment.</x:v>
      </x:c>
      <x:c r="T11" s="30" t="str">
        <x:f>IFERROR(INDEX('Bibliothèque constats'!$K$5:$K$88,MATCH($M11,'Bibliothèque constats'!$A$5:$A$88,0)),"")</x:f>
      </x:c>
      <x:c r="U11" s="30" t="str">
        <x:f>IFERROR(INDEX('Bibliothèque constats'!$L$5:$L$88,MATCH($M11,'Bibliothèque constats'!$A$5:$A$88,0)),"")</x:f>
      </x:c>
      <x:c r="V11" s="30" t="str">
        <x:f>IFERROR(INDEX('Bibliothèque constats'!$M$5:$M$88,MATCH($M11,'Bibliothèque constats'!$A$5:$A$88,0)),"")</x:f>
        <x:v>Cette vue tient-elle compte des dépenses engagées et des paiements attendus ?</x:v>
      </x:c>
      <x:c r="W11" s="30" t="str">
        <x:f>IFERROR(INDEX('Bibliothèque constats'!$E$5:$E$88,MATCH($M11,'Bibliothèque constats'!$A$5:$A$88,0)),"")</x:f>
        <x:v>Je peux consulter ma trésorerie disponible à tout moment.</x:v>
      </x:c>
      <x:c r="X11" s="30" t="n">
        <x:f>IF(AND(Q11&gt;0,T11&lt;&gt;""),Q11*1000-ROW(),0)</x:f>
        <x:v>0</x:v>
      </x:c>
      <x:c r="Y11" s="30" t="n">
        <x:f>IF(P11="Force",1000-ROW(),0)</x:f>
        <x:v>989</x:v>
      </x:c>
    </x:row>
    <x:row r="12" ht="49.5" customHeight="1">
      <x:c r="A12" s="30" t="n">
        <x:f>IF(LARGE($X$5:$X$25,3)&lt;=0,"",3)</x:f>
        <x:v>3</x:v>
      </x:c>
      <x:c r="B12" s="30" t="str">
        <x:f>IFERROR(IF(LARGE($X$5:$X$25,3)&lt;=0,"",INDEX($T$5:$T$25,MATCH(LARGE($X$5:$X$25,3),$X$5:$X$25,0))),"")</x:f>
        <x:v>Les améliorations peuvent être reportées jusqu’à l’apparition d’un problème critique.</x:v>
      </x:c>
      <x:c r="C12" s="30" t="str">
        <x:f>IFERROR(IF(LARGE($X$5:$X$25,3)&lt;=0,"",INDEX($R$5:$R$25,MATCH(LARGE($X$5:$X$25,3),$X$5:$X$25,0))),"")</x:f>
        <x:v>Modérée</x:v>
      </x:c>
      <x:c r="D12" s="30" t="str">
        <x:f>IFERROR(IF(LARGE($X$5:$X$25,3)&lt;=0,"",INDEX($S$5:$S$25,MATCH(LARGE($X$5:$X$25,3),$X$5:$X$25,0))),"")</x:f>
        <x:v>Le changement est envisagé seulement lorsque le besoin devient urgent.</x:v>
      </x:c>
      <x:c r="E12" s="30" t="str">
        <x:f>IFERROR(IF(LARGE($X$5:$X$25,3)&lt;=0,"",INDEX($W$5:$W$25,MATCH(LARGE($X$5:$X$25,3),$X$5:$X$25,0))),"")</x:f>
        <x:v>Je préfère attendre que le besoin devienne vraiment urgent avant de changer.</x:v>
      </x:c>
      <x:c r="F12" s="30" t="str">
        <x:f>IFERROR(IF(LARGE($X$5:$X$25,3)&lt;=0,"",INDEX($V$5:$V$25,MATCH(LARGE($X$5:$X$25,3),$X$5:$X$25,0))),"")</x:f>
        <x:v>Quel événement rendrait ce sujet suffisamment urgent pour agir maintenant ?</x:v>
      </x:c>
      <x:c r="M12" s="30" t="str">
        <x:f>'Simulateur'!D17</x:f>
        <x:v>Q8D</x:v>
      </x:c>
      <x:c r="N12" s="30" t="str">
        <x:f>IFERROR(INDEX('Bibliothèque constats'!$B$5:$B$88,MATCH($M12,'Bibliothèque constats'!$A$5:$A$88,0)),"")</x:f>
        <x:v>Dirigeant</x:v>
      </x:c>
      <x:c r="O12" s="30" t="str">
        <x:f>IFERROR(INDEX('Bibliothèque constats'!$F$5:$F$88,MATCH($M12,'Bibliothèque constats'!$A$5:$A$88,0)),"")</x:f>
        <x:v>Comptabilité</x:v>
      </x:c>
      <x:c r="P12" s="30" t="str">
        <x:f>IFERROR(INDEX('Bibliothèque constats'!$G$5:$G$88,MATCH($M12,'Bibliothèque constats'!$A$5:$A$88,0)),"")</x:f>
        <x:v>Difficulté</x:v>
      </x:c>
      <x:c r="Q12" s="30" t="n">
        <x:f>IFERROR(INDEX('Bibliothèque constats'!$H$5:$H$88,MATCH($M12,'Bibliothèque constats'!$A$5:$A$88,0)),"")</x:f>
        <x:v>3</x:v>
      </x:c>
      <x:c r="R12" s="30" t="str">
        <x:f>IFERROR(INDEX('Bibliothèque constats'!$I$5:$I$88,MATCH($M12,'Bibliothèque constats'!$A$5:$A$88,0)),"")</x:f>
        <x:v>Élevée</x:v>
      </x:c>
      <x:c r="S12" s="30" t="str">
        <x:f>IFERROR(INDEX('Bibliothèque constats'!$J$5:$J$88,MATCH($M12,'Bibliothèque constats'!$A$5:$A$88,0)),"")</x:f>
        <x:v>Certaines opérations doivent être reconstituées après leur réalisation.</x:v>
      </x:c>
      <x:c r="T12" s="30" t="str">
        <x:f>IFERROR(INDEX('Bibliothèque constats'!$K$5:$K$88,MATCH($M12,'Bibliothèque constats'!$A$5:$A$88,0)),"")</x:f>
        <x:v>La comptabilité dépend de reconstitutions a posteriori.</x:v>
      </x:c>
      <x:c r="U12" s="30" t="str">
        <x:f>IFERROR(INDEX('Bibliothèque constats'!$L$5:$L$88,MATCH($M12,'Bibliothèque constats'!$A$5:$A$88,0)),"")</x:f>
        <x:v>Des opérations peuvent rester mal documentées ou être enregistrées avec retard.</x:v>
      </x:c>
      <x:c r="V12" s="30" t="str">
        <x:f>IFERROR(INDEX('Bibliothèque constats'!$M$5:$M$88,MATCH($M12,'Bibliothèque constats'!$A$5:$A$88,0)),"")</x:f>
        <x:v>Quelles opérations sont les plus difficiles à reconstituer en fin de période ?</x:v>
      </x:c>
      <x:c r="W12" s="30" t="str">
        <x:f>IFERROR(INDEX('Bibliothèque constats'!$E$5:$E$88,MATCH($M12,'Bibliothèque constats'!$A$5:$A$88,0)),"")</x:f>
        <x:v>Je dois souvent reconstituer certaines opérations après leur réalisation.</x:v>
      </x:c>
      <x:c r="X12" s="30" t="n">
        <x:f>IF(AND(Q12&gt;0,T12&lt;&gt;""),Q12*1000-ROW(),0)</x:f>
        <x:v>2988</x:v>
      </x:c>
      <x:c r="Y12" s="30" t="n">
        <x:f>IF(P12="Force",1000-ROW(),0)</x:f>
        <x:v>0</x:v>
      </x:c>
    </x:row>
    <x:row r="13" ht="49.5" customHeight="1">
      <x:c r="A13" s="30" t="n">
        <x:f>IF(LARGE($X$5:$X$25,4)&lt;=0,"",4)</x:f>
        <x:v>4</x:v>
      </x:c>
      <x:c r="B13" s="30" t="str">
        <x:f>IFERROR(IF(LARGE($X$5:$X$25,4)&lt;=0,"",INDEX($T$5:$T$25,MATCH(LARGE($X$5:$X$25,4),$X$5:$X$25,0))),"")</x:f>
        <x:v>La vue des encaissements est fragmentée entre plusieurs canaux.</x:v>
      </x:c>
      <x:c r="C13" s="30" t="str">
        <x:f>IFERROR(IF(LARGE($X$5:$X$25,4)&lt;=0,"",INDEX($R$5:$R$25,MATCH(LARGE($X$5:$X$25,4),$X$5:$X$25,0))),"")</x:f>
        <x:v>Légère</x:v>
      </x:c>
      <x:c r="D13" s="30" t="str">
        <x:f>IFERROR(IF(LARGE($X$5:$X$25,4)&lt;=0,"",INDEX($S$5:$S$25,MATCH(LARGE($X$5:$X$25,4),$X$5:$X$25,0))),"")</x:f>
        <x:v>Chaque moyen de paiement est consulté séparément.</x:v>
      </x:c>
      <x:c r="E13" s="30" t="str">
        <x:f>IFERROR(IF(LARGE($X$5:$X$25,4)&lt;=0,"",INDEX($W$5:$W$25,MATCH(LARGE($X$5:$X$25,4),$X$5:$X$25,0))),"")</x:f>
        <x:v>Je vérifie séparément le solde de chaque moyen de paiement.</x:v>
      </x:c>
      <x:c r="F13" s="30" t="str">
        <x:f>IFERROR(IF(LARGE($X$5:$X$25,4)&lt;=0,"",INDEX($V$5:$V$25,MATCH(LARGE($X$5:$X$25,4),$X$5:$X$25,0))),"")</x:f>
        <x:v>Combien de comptes ou d’interfaces devez-vous consulter pour faire un point complet ?</x:v>
      </x:c>
      <x:c r="M13" s="30" t="str">
        <x:f>'Simulateur'!D18</x:f>
        <x:v>Q9D</x:v>
      </x:c>
      <x:c r="N13" s="30" t="str">
        <x:f>IFERROR(INDEX('Bibliothèque constats'!$B$5:$B$88,MATCH($M13,'Bibliothèque constats'!$A$5:$A$88,0)),"")</x:f>
        <x:v>Dirigeant</x:v>
      </x:c>
      <x:c r="O13" s="30" t="str">
        <x:f>IFERROR(INDEX('Bibliothèque constats'!$F$5:$F$88,MATCH($M13,'Bibliothèque constats'!$A$5:$A$88,0)),"")</x:f>
        <x:v>Délégation des encaissements</x:v>
      </x:c>
      <x:c r="P13" s="30" t="str">
        <x:f>IFERROR(INDEX('Bibliothèque constats'!$G$5:$G$88,MATCH($M13,'Bibliothèque constats'!$A$5:$A$88,0)),"")</x:f>
        <x:v>Contexte</x:v>
      </x:c>
      <x:c r="Q13" s="30" t="n">
        <x:f>IFERROR(INDEX('Bibliothèque constats'!$H$5:$H$88,MATCH($M13,'Bibliothèque constats'!$A$5:$A$88,0)),"")</x:f>
        <x:v>0</x:v>
      </x:c>
      <x:c r="R13" s="30" t="str">
        <x:f>IFERROR(INDEX('Bibliothèque constats'!$I$5:$I$88,MATCH($M13,'Bibliothèque constats'!$A$5:$A$88,0)),"")</x:f>
        <x:v>Aucune alerte</x:v>
      </x:c>
      <x:c r="S13" s="30" t="str">
        <x:f>IFERROR(INDEX('Bibliothèque constats'!$J$5:$J$88,MATCH($M13,'Bibliothèque constats'!$A$5:$A$88,0)),"")</x:f>
        <x:v>Le dirigeant est actuellement la seule personne à encaisser.</x:v>
      </x:c>
      <x:c r="T13" s="30" t="str">
        <x:f>IFERROR(INDEX('Bibliothèque constats'!$K$5:$K$88,MATCH($M13,'Bibliothèque constats'!$A$5:$A$88,0)),"")</x:f>
      </x:c>
      <x:c r="U13" s="30" t="str">
        <x:f>IFERROR(INDEX('Bibliothèque constats'!$L$5:$L$88,MATCH($M13,'Bibliothèque constats'!$A$5:$A$88,0)),"")</x:f>
        <x:v>La délégation n’est pas encore un sujet observable dans la situation actuelle.</x:v>
      </x:c>
      <x:c r="V13" s="30" t="str">
        <x:f>IFERROR(INDEX('Bibliothèque constats'!$M$5:$M$88,MATCH($M13,'Bibliothèque constats'!$A$5:$A$88,0)),"")</x:f>
        <x:v>Prévoyez-vous que d’autres personnes encaissent prochainement ?</x:v>
      </x:c>
      <x:c r="W13" s="30" t="str">
        <x:f>IFERROR(INDEX('Bibliothèque constats'!$E$5:$E$88,MATCH($M13,'Bibliothèque constats'!$A$5:$A$88,0)),"")</x:f>
        <x:v>Pour le moment, je suis la seule personne à encaisser dans mon entreprise.</x:v>
      </x:c>
      <x:c r="X13" s="30" t="n">
        <x:f>IF(AND(Q13&gt;0,T13&lt;&gt;""),Q13*1000-ROW(),0)</x:f>
        <x:v>0</x:v>
      </x:c>
      <x:c r="Y13" s="30" t="n">
        <x:f>IF(P13="Force",1000-ROW(),0)</x:f>
        <x:v>0</x:v>
      </x:c>
    </x:row>
    <x:row r="14" ht="49.5" customHeight="1">
      <x:c r="A14" s="30" t="n">
        <x:f>IF(LARGE($X$5:$X$25,5)&lt;=0,"",5)</x:f>
        <x:v>5</x:v>
      </x:c>
      <x:c r="B14" s="30" t="str">
        <x:f>IFERROR(IF(LARGE($X$5:$X$25,5)&lt;=0,"",INDEX($T$5:$T$25,MATCH(LARGE($X$5:$X$25,5),$X$5:$X$25,0))),"")</x:f>
        <x:v>Le parcours de paiement dépend d’un échange manuel.</x:v>
      </x:c>
      <x:c r="C14" s="30" t="str">
        <x:f>IFERROR(IF(LARGE($X$5:$X$25,5)&lt;=0,"",INDEX($R$5:$R$25,MATCH(LARGE($X$5:$X$25,5),$X$5:$X$25,0))),"")</x:f>
        <x:v>Légère</x:v>
      </x:c>
      <x:c r="D14" s="30" t="str">
        <x:f>IFERROR(IF(LARGE($X$5:$X$25,5)&lt;=0,"",INDEX($S$5:$S$25,MATCH(LARGE($X$5:$X$25,5),$X$5:$X$25,0))),"")</x:f>
        <x:v>Le paiement à distance nécessite de communiquer manuellement un numéro au client.</x:v>
      </x:c>
      <x:c r="E14" s="30" t="str">
        <x:f>IFERROR(IF(LARGE($X$5:$X$25,5)&lt;=0,"",INDEX($W$5:$W$25,MATCH(LARGE($X$5:$X$25,5),$X$5:$X$25,0))),"")</x:f>
        <x:v>Je lui communique un numéro après avoir échangé avec lui.</x:v>
      </x:c>
      <x:c r="F14" s="30" t="str">
        <x:f>IFERROR(IF(LARGE($X$5:$X$25,5)&lt;=0,"",INDEX($V$5:$V$25,MATCH(LARGE($X$5:$X$25,5),$X$5:$X$25,0))),"")</x:f>
        <x:v>Que se passe-t-il entre la demande du client et la confirmation définitive du paiement ?</x:v>
      </x:c>
      <x:c r="M14" s="30" t="str">
        <x:f>'Simulateur'!D19</x:f>
        <x:v>Q10B</x:v>
      </x:c>
      <x:c r="N14" s="30" t="str">
        <x:f>IFERROR(INDEX('Bibliothèque constats'!$B$5:$B$88,MATCH($M14,'Bibliothèque constats'!$A$5:$A$88,0)),"")</x:f>
        <x:v>Dirigeant</x:v>
      </x:c>
      <x:c r="O14" s="30" t="str">
        <x:f>IFERROR(INDEX('Bibliothèque constats'!$F$5:$F$88,MATCH($M14,'Bibliothèque constats'!$A$5:$A$88,0)),"")</x:f>
        <x:v>Paiement à distance</x:v>
      </x:c>
      <x:c r="P14" s="30" t="str">
        <x:f>IFERROR(INDEX('Bibliothèque constats'!$G$5:$G$88,MATCH($M14,'Bibliothèque constats'!$A$5:$A$88,0)),"")</x:f>
        <x:v>Difficulté</x:v>
      </x:c>
      <x:c r="Q14" s="30" t="n">
        <x:f>IFERROR(INDEX('Bibliothèque constats'!$H$5:$H$88,MATCH($M14,'Bibliothèque constats'!$A$5:$A$88,0)),"")</x:f>
        <x:v>1</x:v>
      </x:c>
      <x:c r="R14" s="30" t="str">
        <x:f>IFERROR(INDEX('Bibliothèque constats'!$I$5:$I$88,MATCH($M14,'Bibliothèque constats'!$A$5:$A$88,0)),"")</x:f>
        <x:v>Légère</x:v>
      </x:c>
      <x:c r="S14" s="30" t="str">
        <x:f>IFERROR(INDEX('Bibliothèque constats'!$J$5:$J$88,MATCH($M14,'Bibliothèque constats'!$A$5:$A$88,0)),"")</x:f>
        <x:v>Le paiement à distance nécessite de communiquer manuellement un numéro au client.</x:v>
      </x:c>
      <x:c r="T14" s="30" t="str">
        <x:f>IFERROR(INDEX('Bibliothèque constats'!$K$5:$K$88,MATCH($M14,'Bibliothèque constats'!$A$5:$A$88,0)),"")</x:f>
        <x:v>Le parcours de paiement dépend d’un échange manuel.</x:v>
      </x:c>
      <x:c r="U14" s="30" t="str">
        <x:f>IFERROR(INDEX('Bibliothèque constats'!$L$5:$L$88,MATCH($M14,'Bibliothèque constats'!$A$5:$A$88,0)),"")</x:f>
        <x:v>La vérification et le rapprochement peuvent être plus longs lorsque les demandes augmentent.</x:v>
      </x:c>
      <x:c r="V14" s="30" t="str">
        <x:f>IFERROR(INDEX('Bibliothèque constats'!$M$5:$M$88,MATCH($M14,'Bibliothèque constats'!$A$5:$A$88,0)),"")</x:f>
        <x:v>Que se passe-t-il entre la demande du client et la confirmation définitive du paiement ?</x:v>
      </x:c>
      <x:c r="W14" s="30" t="str">
        <x:f>IFERROR(INDEX('Bibliothèque constats'!$E$5:$E$88,MATCH($M14,'Bibliothèque constats'!$A$5:$A$88,0)),"")</x:f>
        <x:v>Je lui communique un numéro après avoir échangé avec lui.</x:v>
      </x:c>
      <x:c r="X14" s="30" t="n">
        <x:f>IF(AND(Q14&gt;0,T14&lt;&gt;""),Q14*1000-ROW(),0)</x:f>
        <x:v>986</x:v>
      </x:c>
      <x:c r="Y14" s="30" t="n">
        <x:f>IF(P14="Force",1000-ROW(),0)</x:f>
        <x:v>0</x:v>
      </x:c>
    </x:row>
    <x:row r="15" ht="49.5" customHeight="1">
      <x:c r="A15" s="31" t="n">
        <x:f>IF(LARGE($X$5:$X$25,6)&lt;=0,"",6)</x:f>
        <x:v>6</x:v>
      </x:c>
      <x:c r="B15" s="31" t="str">
        <x:f>IFERROR(IF(LARGE($X$5:$X$25,6)&lt;=0,"",INDEX($T$5:$T$25,MATCH(LARGE($X$5:$X$25,6),$X$5:$X$25,0))),"")</x:f>
        <x:v>Le parcours de vente dépend fortement des échanges conversationnels.</x:v>
      </x:c>
      <x:c r="C15" s="31" t="str">
        <x:f>IFERROR(IF(LARGE($X$5:$X$25,6)&lt;=0,"",INDEX($R$5:$R$25,MATCH(LARGE($X$5:$X$25,6),$X$5:$X$25,0))),"")</x:f>
        <x:v>Légère</x:v>
      </x:c>
      <x:c r="D15" s="31" t="str">
        <x:f>IFERROR(IF(LARGE($X$5:$X$25,6)&lt;=0,"",INDEX($S$5:$S$25,MATCH(LARGE($X$5:$X$25,6),$X$5:$X$25,0))),"")</x:f>
        <x:v>Les ventes passent principalement par les réseaux sociaux et les messageries.</x:v>
      </x:c>
      <x:c r="E15" s="31" t="str">
        <x:f>IFERROR(IF(LARGE($X$5:$X$25,6)&lt;=0,"",INDEX($W$5:$W$25,MATCH(LARGE($X$5:$X$25,6),$X$5:$X$25,0))),"")</x:f>
        <x:v>Je vends principalement à travers les réseaux sociaux et les messageries.</x:v>
      </x:c>
      <x:c r="F15" s="31" t="str">
        <x:f>IFERROR(IF(LARGE($X$5:$X$25,6)&lt;=0,"",INDEX($V$5:$V$25,MATCH(LARGE($X$5:$X$25,6),$X$5:$X$25,0))),"")</x:f>
        <x:v>Comment suivez-vous une demande reçue sur les réseaux sociaux jusqu’au paiement ?</x:v>
      </x:c>
      <x:c r="M15" s="30" t="str">
        <x:f>'Simulateur'!D20</x:f>
        <x:v>Q11C</x:v>
      </x:c>
      <x:c r="N15" s="30" t="str">
        <x:f>IFERROR(INDEX('Bibliothèque constats'!$B$5:$B$88,MATCH($M15,'Bibliothèque constats'!$A$5:$A$88,0)),"")</x:f>
        <x:v>Dirigeant</x:v>
      </x:c>
      <x:c r="O15" s="30" t="str">
        <x:f>IFERROR(INDEX('Bibliothèque constats'!$F$5:$F$88,MATCH($M15,'Bibliothèque constats'!$A$5:$A$88,0)),"")</x:f>
        <x:v>Parcours de vente digital</x:v>
      </x:c>
      <x:c r="P15" s="30" t="str">
        <x:f>IFERROR(INDEX('Bibliothèque constats'!$G$5:$G$88,MATCH($M15,'Bibliothèque constats'!$A$5:$A$88,0)),"")</x:f>
        <x:v>Point de vigilance</x:v>
      </x:c>
      <x:c r="Q15" s="30" t="n">
        <x:f>IFERROR(INDEX('Bibliothèque constats'!$H$5:$H$88,MATCH($M15,'Bibliothèque constats'!$A$5:$A$88,0)),"")</x:f>
        <x:v>1</x:v>
      </x:c>
      <x:c r="R15" s="30" t="str">
        <x:f>IFERROR(INDEX('Bibliothèque constats'!$I$5:$I$88,MATCH($M15,'Bibliothèque constats'!$A$5:$A$88,0)),"")</x:f>
        <x:v>Légère</x:v>
      </x:c>
      <x:c r="S15" s="30" t="str">
        <x:f>IFERROR(INDEX('Bibliothèque constats'!$J$5:$J$88,MATCH($M15,'Bibliothèque constats'!$A$5:$A$88,0)),"")</x:f>
        <x:v>Les ventes passent principalement par les réseaux sociaux et les messageries.</x:v>
      </x:c>
      <x:c r="T15" s="30" t="str">
        <x:f>IFERROR(INDEX('Bibliothèque constats'!$K$5:$K$88,MATCH($M15,'Bibliothèque constats'!$A$5:$A$88,0)),"")</x:f>
        <x:v>Le parcours de vente dépend fortement des échanges conversationnels.</x:v>
      </x:c>
      <x:c r="U15" s="30" t="str">
        <x:f>IFERROR(INDEX('Bibliothèque constats'!$L$5:$L$88,MATCH($M15,'Bibliothèque constats'!$A$5:$A$88,0)),"")</x:f>
        <x:v>Les demandes, commandes et paiements peuvent être difficiles à suivre dans un même parcours.</x:v>
      </x:c>
      <x:c r="V15" s="30" t="str">
        <x:f>IFERROR(INDEX('Bibliothèque constats'!$M$5:$M$88,MATCH($M15,'Bibliothèque constats'!$A$5:$A$88,0)),"")</x:f>
        <x:v>Comment suivez-vous une demande reçue sur les réseaux sociaux jusqu’au paiement ?</x:v>
      </x:c>
      <x:c r="W15" s="30" t="str">
        <x:f>IFERROR(INDEX('Bibliothèque constats'!$E$5:$E$88,MATCH($M15,'Bibliothèque constats'!$A$5:$A$88,0)),"")</x:f>
        <x:v>Je vends principalement à travers les réseaux sociaux et les messageries.</x:v>
      </x:c>
      <x:c r="X15" s="30" t="n">
        <x:f>IF(AND(Q15&gt;0,T15&lt;&gt;""),Q15*1000-ROW(),0)</x:f>
        <x:v>985</x:v>
      </x:c>
      <x:c r="Y15" s="30" t="n">
        <x:f>IF(P15="Force",1000-ROW(),0)</x:f>
        <x:v>0</x:v>
      </x:c>
    </x:row>
    <x:row r="16">
      <x:c r="M16" s="30" t="str">
        <x:f>'Simulateur'!D21</x:f>
        <x:v>Q12A</x:v>
      </x:c>
      <x:c r="N16" s="30" t="str">
        <x:f>IFERROR(INDEX('Bibliothèque constats'!$B$5:$B$88,MATCH($M16,'Bibliothèque constats'!$A$5:$A$88,0)),"")</x:f>
        <x:v>Dirigeant</x:v>
      </x:c>
      <x:c r="O16" s="30" t="str">
        <x:f>IFERROR(INDEX('Bibliothèque constats'!$F$5:$F$88,MATCH($M16,'Bibliothèque constats'!$A$5:$A$88,0)),"")</x:f>
        <x:v>Traçabilité d’un paiement</x:v>
      </x:c>
      <x:c r="P16" s="30" t="str">
        <x:f>IFERROR(INDEX('Bibliothèque constats'!$G$5:$G$88,MATCH($M16,'Bibliothèque constats'!$A$5:$A$88,0)),"")</x:f>
        <x:v>Force</x:v>
      </x:c>
      <x:c r="Q16" s="30" t="n">
        <x:f>IFERROR(INDEX('Bibliothèque constats'!$H$5:$H$88,MATCH($M16,'Bibliothèque constats'!$A$5:$A$88,0)),"")</x:f>
        <x:v>0</x:v>
      </x:c>
      <x:c r="R16" s="30" t="str">
        <x:f>IFERROR(INDEX('Bibliothèque constats'!$I$5:$I$88,MATCH($M16,'Bibliothèque constats'!$A$5:$A$88,0)),"")</x:f>
        <x:v>Aucune alerte</x:v>
      </x:c>
      <x:c r="S16" s="30" t="str">
        <x:f>IFERROR(INDEX('Bibliothèque constats'!$J$5:$J$88,MATCH($M16,'Bibliothèque constats'!$A$5:$A$88,0)),"")</x:f>
        <x:v>Un paiement peut être recherché à partir de sa référence.</x:v>
      </x:c>
      <x:c r="T16" s="30" t="str">
        <x:f>IFERROR(INDEX('Bibliothèque constats'!$K$5:$K$88,MATCH($M16,'Bibliothèque constats'!$A$5:$A$88,0)),"")</x:f>
      </x:c>
      <x:c r="U16" s="30" t="str">
        <x:f>IFERROR(INDEX('Bibliothèque constats'!$L$5:$L$88,MATCH($M16,'Bibliothèque constats'!$A$5:$A$88,0)),"")</x:f>
      </x:c>
      <x:c r="V16" s="30" t="str">
        <x:f>IFERROR(INDEX('Bibliothèque constats'!$M$5:$M$88,MATCH($M16,'Bibliothèque constats'!$A$5:$A$88,0)),"")</x:f>
        <x:v>La référence permet-elle aussi de retrouver la commande et le client concernés ?</x:v>
      </x:c>
      <x:c r="W16" s="30" t="str">
        <x:f>IFERROR(INDEX('Bibliothèque constats'!$E$5:$E$88,MATCH($M16,'Bibliothèque constats'!$A$5:$A$88,0)),"")</x:f>
        <x:v>Je recherche la transaction à partir de sa référence.</x:v>
      </x:c>
      <x:c r="X16" s="30" t="n">
        <x:f>IF(AND(Q16&gt;0,T16&lt;&gt;""),Q16*1000-ROW(),0)</x:f>
        <x:v>0</x:v>
      </x:c>
      <x:c r="Y16" s="30" t="n">
        <x:f>IF(P16="Force",1000-ROW(),0)</x:f>
        <x:v>984</x:v>
      </x:c>
    </x:row>
    <x:row r="17" ht="25.5" customHeight="1">
      <x:c r="A17" s="10" t="inlineStr">
        <x:is>
          <x:t xml:space="preserve">Forces et pratiques déjà en place</x:t>
        </x:is>
      </x:c>
      <x:c r="M17" s="30" t="str">
        <x:f>'Simulateur'!D22</x:f>
        <x:v>Q13D</x:v>
      </x:c>
      <x:c r="N17" s="30" t="str">
        <x:f>IFERROR(INDEX('Bibliothèque constats'!$B$5:$B$88,MATCH($M17,'Bibliothèque constats'!$A$5:$A$88,0)),"")</x:f>
        <x:v>Dirigeant</x:v>
      </x:c>
      <x:c r="O17" s="30" t="str">
        <x:f>IFERROR(INDEX('Bibliothèque constats'!$F$5:$F$88,MATCH($M17,'Bibliothèque constats'!$A$5:$A$88,0)),"")</x:f>
        <x:v>Adoption</x:v>
      </x:c>
      <x:c r="P17" s="30" t="str">
        <x:f>IFERROR(INDEX('Bibliothèque constats'!$G$5:$G$88,MATCH($M17,'Bibliothèque constats'!$A$5:$A$88,0)),"")</x:f>
        <x:v>Point de vigilance</x:v>
      </x:c>
      <x:c r="Q17" s="30" t="n">
        <x:f>IFERROR(INDEX('Bibliothèque constats'!$H$5:$H$88,MATCH($M17,'Bibliothèque constats'!$A$5:$A$88,0)),"")</x:f>
        <x:v>2</x:v>
      </x:c>
      <x:c r="R17" s="30" t="str">
        <x:f>IFERROR(INDEX('Bibliothèque constats'!$I$5:$I$88,MATCH($M17,'Bibliothèque constats'!$A$5:$A$88,0)),"")</x:f>
        <x:v>Modérée</x:v>
      </x:c>
      <x:c r="S17" s="30" t="str">
        <x:f>IFERROR(INDEX('Bibliothèque constats'!$J$5:$J$88,MATCH($M17,'Bibliothèque constats'!$A$5:$A$88,0)),"")</x:f>
        <x:v>Le changement est envisagé seulement lorsque le besoin devient urgent.</x:v>
      </x:c>
      <x:c r="T17" s="30" t="str">
        <x:f>IFERROR(INDEX('Bibliothèque constats'!$K$5:$K$88,MATCH($M17,'Bibliothèque constats'!$A$5:$A$88,0)),"")</x:f>
        <x:v>Les améliorations peuvent être reportées jusqu’à l’apparition d’un problème critique.</x:v>
      </x:c>
      <x:c r="U17" s="30" t="str">
        <x:f>IFERROR(INDEX('Bibliothèque constats'!$L$5:$L$88,MATCH($M17,'Bibliothèque constats'!$A$5:$A$88,0)),"")</x:f>
        <x:v>Le prospect peut reconnaître la difficulté sans être encore prêt à agir.</x:v>
      </x:c>
      <x:c r="V17" s="30" t="str">
        <x:f>IFERROR(INDEX('Bibliothèque constats'!$M$5:$M$88,MATCH($M17,'Bibliothèque constats'!$A$5:$A$88,0)),"")</x:f>
        <x:v>Quel événement rendrait ce sujet suffisamment urgent pour agir maintenant ?</x:v>
      </x:c>
      <x:c r="W17" s="30" t="str">
        <x:f>IFERROR(INDEX('Bibliothèque constats'!$E$5:$E$88,MATCH($M17,'Bibliothèque constats'!$A$5:$A$88,0)),"")</x:f>
        <x:v>Je préfère attendre que le besoin devienne vraiment urgent avant de changer.</x:v>
      </x:c>
      <x:c r="X17" s="30" t="n">
        <x:f>IF(AND(Q17&gt;0,T17&lt;&gt;""),Q17*1000-ROW(),0)</x:f>
        <x:v>1983</x:v>
      </x:c>
      <x:c r="Y17" s="30" t="n">
        <x:f>IF(P17="Force",1000-ROW(),0)</x:f>
        <x:v>0</x:v>
      </x:c>
    </x:row>
    <x:row r="18" ht="28.5" customHeight="1">
      <x:c r="A18" s="19" t="inlineStr">
        <x:is>
          <x:t xml:space="preserve">#</x:t>
        </x:is>
      </x:c>
      <x:c r="B18" s="20" t="inlineStr">
        <x:is>
          <x:t xml:space="preserve">Force / pratique observée</x:t>
        </x:is>
      </x:c>
      <x:c r="C18" s="20" t="inlineStr">
        <x:is>
          <x:t xml:space="preserve">Dimension</x:t>
        </x:is>
      </x:c>
      <x:c r="D18" s="20" t="inlineStr">
        <x:is>
          <x:t xml:space="preserve">Réponse sélectionnée</x:t>
        </x:is>
      </x:c>
      <x:c r="E18" s="21" t="inlineStr">
        <x:is>
          <x:t xml:space="preserve">Question pour capitaliser</x:t>
        </x:is>
      </x:c>
      <x:c r="M18" s="30" t="str">
        <x:f>'Simulateur'!D23</x:f>
        <x:v>Q14A</x:v>
      </x:c>
      <x:c r="N18" s="30" t="str">
        <x:f>IFERROR(INDEX('Bibliothèque constats'!$B$5:$B$88,MATCH($M18,'Bibliothèque constats'!$A$5:$A$88,0)),"")</x:f>
        <x:v>Dirigeant</x:v>
      </x:c>
      <x:c r="O18" s="30" t="str">
        <x:f>IFERROR(INDEX('Bibliothèque constats'!$F$5:$F$88,MATCH($M18,'Bibliothèque constats'!$A$5:$A$88,0)),"")</x:f>
        <x:v>Besoin déclaré</x:v>
      </x:c>
      <x:c r="P18" s="30" t="str">
        <x:f>IFERROR(INDEX('Bibliothèque constats'!$G$5:$G$88,MATCH($M18,'Bibliothèque constats'!$A$5:$A$88,0)),"")</x:f>
        <x:v>Besoin déclaré</x:v>
      </x:c>
      <x:c r="Q18" s="30" t="n">
        <x:f>IFERROR(INDEX('Bibliothèque constats'!$H$5:$H$88,MATCH($M18,'Bibliothèque constats'!$A$5:$A$88,0)),"")</x:f>
        <x:v>0</x:v>
      </x:c>
      <x:c r="R18" s="30" t="str">
        <x:f>IFERROR(INDEX('Bibliothèque constats'!$I$5:$I$88,MATCH($M18,'Bibliothèque constats'!$A$5:$A$88,0)),"")</x:f>
        <x:v>Aucune alerte</x:v>
      </x:c>
      <x:c r="S18" s="30" t="str">
        <x:f>IFERROR(INDEX('Bibliothèque constats'!$J$5:$J$88,MATCH($M18,'Bibliothèque constats'!$A$5:$A$88,0)),"")</x:f>
        <x:v>Le progrès prioritaire déclaré est de connaître la trésorerie sans attendre la fin du mois.</x:v>
      </x:c>
      <x:c r="T18" s="30" t="str">
        <x:f>IFERROR(INDEX('Bibliothèque constats'!$K$5:$K$88,MATCH($M18,'Bibliothèque constats'!$A$5:$A$88,0)),"")</x:f>
      </x:c>
      <x:c r="U18" s="30" t="str">
        <x:f>IFERROR(INDEX('Bibliothèque constats'!$L$5:$L$88,MATCH($M18,'Bibliothèque constats'!$A$5:$A$88,0)),"")</x:f>
        <x:v>Le besoin de visibilité financière est explicitement reconnu.</x:v>
      </x:c>
      <x:c r="V18" s="30" t="str">
        <x:f>IFERROR(INDEX('Bibliothèque constats'!$M$5:$M$88,MATCH($M18,'Bibliothèque constats'!$A$5:$A$88,0)),"")</x:f>
        <x:v>Qu’est-ce que cette visibilité vous permettrait de décider plus rapidement ?</x:v>
      </x:c>
      <x:c r="W18" s="30" t="str">
        <x:f>IFERROR(INDEX('Bibliothèque constats'!$E$5:$E$88,MATCH($M18,'Bibliothèque constats'!$A$5:$A$88,0)),"")</x:f>
        <x:v>Je pourrais connaître l’état de ma trésorerie sans attendre la fin du mois.</x:v>
      </x:c>
      <x:c r="X18" s="30" t="n">
        <x:f>IF(AND(Q18&gt;0,T18&lt;&gt;""),Q18*1000-ROW(),0)</x:f>
        <x:v>0</x:v>
      </x:c>
      <x:c r="Y18" s="30" t="n">
        <x:f>IF(P18="Force",1000-ROW(),0)</x:f>
        <x:v>0</x:v>
      </x:c>
    </x:row>
    <x:row r="19" ht="46.5" customHeight="1">
      <x:c r="A19" s="29" t="n">
        <x:f>IF(LARGE($Y$5:$Y$25,1)&lt;=0,"",1)</x:f>
        <x:v>1</x:v>
      </x:c>
      <x:c r="B19" s="29" t="str">
        <x:f>IFERROR(IF(LARGE($Y$5:$Y$25,1)&lt;=0,"",INDEX($S$5:$S$25,MATCH(LARGE($Y$5:$Y$25,1),$Y$5:$Y$25,0))),"")</x:f>
        <x:v>Les ventes sont suivies régulièrement dans un outil centralisé.</x:v>
      </x:c>
      <x:c r="C19" s="29" t="str">
        <x:f>IFERROR(IF(LARGE($Y$5:$Y$25,1)&lt;=0,"",INDEX($O$5:$O$25,MATCH(LARGE($Y$5:$Y$25,1),$Y$5:$Y$25,0))),"")</x:f>
        <x:v>Suivi des ventes</x:v>
      </x:c>
      <x:c r="D19" s="29" t="str">
        <x:f>IFERROR(IF(LARGE($Y$5:$Y$25,1)&lt;=0,"",INDEX($W$5:$W$25,MATCH(LARGE($Y$5:$Y$25,1),$Y$5:$Y$25,0))),"")</x:f>
        <x:v>Je consulte régulièrement un outil qui centralise toutes mes ventes.</x:v>
      </x:c>
      <x:c r="E19" s="29" t="str">
        <x:f>IFERROR(IF(LARGE($Y$5:$Y$25,1)&lt;=0,"",INDEX($V$5:$V$25,MATCH(LARGE($Y$5:$Y$25,1),$Y$5:$Y$25,0))),"")</x:f>
        <x:v>Quelles informations consultez-vous le plus souvent dans cet outil ?</x:v>
      </x:c>
      <x:c r="M19" s="30" t="str">
        <x:f>'Simulateur'!D40</x:f>
        <x:v>R1C</x:v>
      </x:c>
      <x:c r="N19" s="30" t="str">
        <x:f>IFERROR(INDEX('Bibliothèque constats'!$B$5:$B$88,MATCH($M19,'Bibliothèque constats'!$A$5:$A$88,0)),"")</x:f>
        <x:v>Rayonnement</x:v>
      </x:c>
      <x:c r="O19" s="30" t="str">
        <x:f>IFERROR(INDEX('Bibliothèque constats'!$F$5:$F$88,MATCH($M19,'Bibliothèque constats'!$A$5:$A$88,0)),"")</x:f>
        <x:v>Notoriété</x:v>
      </x:c>
      <x:c r="P19" s="30" t="str">
        <x:f>IFERROR(INDEX('Bibliothèque constats'!$G$5:$G$88,MATCH($M19,'Bibliothèque constats'!$A$5:$A$88,0)),"")</x:f>
        <x:v>Point de vigilance</x:v>
      </x:c>
      <x:c r="Q19" s="30" t="n">
        <x:f>IFERROR(INDEX('Bibliothèque constats'!$H$5:$H$88,MATCH($M19,'Bibliothèque constats'!$A$5:$A$88,0)),"")</x:f>
        <x:v>1</x:v>
      </x:c>
      <x:c r="R19" s="30" t="str">
        <x:f>IFERROR(INDEX('Bibliothèque constats'!$I$5:$I$88,MATCH($M19,'Bibliothèque constats'!$A$5:$A$88,0)),"")</x:f>
        <x:v>Légère</x:v>
      </x:c>
      <x:c r="S19" s="30" t="str">
        <x:f>IFERROR(INDEX('Bibliothèque constats'!$J$5:$J$88,MATCH($M19,'Bibliothèque constats'!$A$5:$A$88,0)),"")</x:f>
        <x:v>L’entreprise est identifiée par des prospects de son secteur.</x:v>
      </x:c>
      <x:c r="T19" s="30" t="str">
        <x:f>IFERROR(INDEX('Bibliothèque constats'!$K$5:$K$88,MATCH($M19,'Bibliothèque constats'!$A$5:$A$88,0)),"")</x:f>
        <x:v>La reconnaissance existe, mais n’est pas encore large sur le marché visé.</x:v>
      </x:c>
      <x:c r="U19" s="30" t="str">
        <x:f>IFERROR(INDEX('Bibliothèque constats'!$L$5:$L$88,MATCH($M19,'Bibliothèque constats'!$A$5:$A$88,0)),"")</x:f>
        <x:v>La marque peut devoir convertir cette reconnaissance en préférence.</x:v>
      </x:c>
      <x:c r="V19" s="30" t="str">
        <x:f>IFERROR(INDEX('Bibliothèque constats'!$M$5:$M$88,MATCH($M19,'Bibliothèque constats'!$A$5:$A$88,0)),"")</x:f>
        <x:v>Les prospects qui vous connaissent comprennent-ils clairement pourquoi vous choisir ?</x:v>
      </x:c>
      <x:c r="W19" s="30" t="str">
        <x:f>IFERROR(INDEX('Bibliothèque constats'!$E$5:$E$88,MATCH($M19,'Bibliothèque constats'!$A$5:$A$88,0)),"")</x:f>
        <x:v>Elle est régulièrement identifiée par des prospects de mon secteur.</x:v>
      </x:c>
      <x:c r="X19" s="30" t="n">
        <x:f>IF(AND(Q19&gt;0,T19&lt;&gt;""),Q19*1000-ROW(),0)</x:f>
        <x:v>981</x:v>
      </x:c>
      <x:c r="Y19" s="30" t="n">
        <x:f>IF(P19="Force",1000-ROW(),0)</x:f>
        <x:v>0</x:v>
      </x:c>
    </x:row>
    <x:row r="20" ht="46.5" customHeight="1">
      <x:c r="A20" s="30" t="n">
        <x:f>IF(LARGE($Y$5:$Y$25,2)&lt;=0,"",2)</x:f>
        <x:v>2</x:v>
      </x:c>
      <x:c r="B20" s="30" t="str">
        <x:f>IFERROR(IF(LARGE($Y$5:$Y$25,2)&lt;=0,"",INDEX($S$5:$S$25,MATCH(LARGE($Y$5:$Y$25,2),$Y$5:$Y$25,0))),"")</x:f>
        <x:v>La trésorerie disponible peut être consultée à tout moment.</x:v>
      </x:c>
      <x:c r="C20" s="30" t="str">
        <x:f>IFERROR(IF(LARGE($Y$5:$Y$25,2)&lt;=0,"",INDEX($O$5:$O$25,MATCH(LARGE($Y$5:$Y$25,2),$Y$5:$Y$25,0))),"")</x:f>
        <x:v>Trésorerie</x:v>
      </x:c>
      <x:c r="D20" s="30" t="str">
        <x:f>IFERROR(IF(LARGE($Y$5:$Y$25,2)&lt;=0,"",INDEX($W$5:$W$25,MATCH(LARGE($Y$5:$Y$25,2),$Y$5:$Y$25,0))),"")</x:f>
        <x:v>Je peux consulter ma trésorerie disponible à tout moment.</x:v>
      </x:c>
      <x:c r="E20" s="30" t="str">
        <x:f>IFERROR(IF(LARGE($Y$5:$Y$25,2)&lt;=0,"",INDEX($V$5:$V$25,MATCH(LARGE($Y$5:$Y$25,2),$Y$5:$Y$25,0))),"")</x:f>
        <x:v>Cette vue tient-elle compte des dépenses engagées et des paiements attendus ?</x:v>
      </x:c>
      <x:c r="M20" s="30" t="str">
        <x:f>'Simulateur'!D41</x:f>
        <x:v>R2C</x:v>
      </x:c>
      <x:c r="N20" s="30" t="str">
        <x:f>IFERROR(INDEX('Bibliothèque constats'!$B$5:$B$88,MATCH($M20,'Bibliothèque constats'!$A$5:$A$88,0)),"")</x:f>
        <x:v>Rayonnement</x:v>
      </x:c>
      <x:c r="O20" s="30" t="str">
        <x:f>IFERROR(INDEX('Bibliothèque constats'!$F$5:$F$88,MATCH($M20,'Bibliothèque constats'!$A$5:$A$88,0)),"")</x:f>
        <x:v>Lecture concurrentielle</x:v>
      </x:c>
      <x:c r="P20" s="30" t="str">
        <x:f>IFERROR(INDEX('Bibliothèque constats'!$G$5:$G$88,MATCH($M20,'Bibliothèque constats'!$A$5:$A$88,0)),"")</x:f>
        <x:v>Point de vigilance</x:v>
      </x:c>
      <x:c r="Q20" s="30" t="n">
        <x:f>IFERROR(INDEX('Bibliothèque constats'!$H$5:$H$88,MATCH($M20,'Bibliothèque constats'!$A$5:$A$88,0)),"")</x:f>
        <x:v>1</x:v>
      </x:c>
      <x:c r="R20" s="30" t="str">
        <x:f>IFERROR(INDEX('Bibliothèque constats'!$I$5:$I$88,MATCH($M20,'Bibliothèque constats'!$A$5:$A$88,0)),"")</x:f>
        <x:v>Légère</x:v>
      </x:c>
      <x:c r="S20" s="30" t="str">
        <x:f>IFERROR(INDEX('Bibliothèque constats'!$J$5:$J$88,MATCH($M20,'Bibliothèque constats'!$A$5:$A$88,0)),"")</x:f>
        <x:v>Les raisons du choix d’un concurrent sont parfois demandées au prospect.</x:v>
      </x:c>
      <x:c r="T20" s="30" t="str">
        <x:f>IFERROR(INDEX('Bibliothèque constats'!$K$5:$K$88,MATCH($M20,'Bibliothèque constats'!$A$5:$A$88,0)),"")</x:f>
        <x:v>Le retour sur les pertes existe, mais n’est pas systématique.</x:v>
      </x:c>
      <x:c r="U20" s="30" t="str">
        <x:f>IFERROR(INDEX('Bibliothèque constats'!$L$5:$L$88,MATCH($M20,'Bibliothèque constats'!$A$5:$A$88,0)),"")</x:f>
        <x:v>Les enseignements peuvent rester anecdotiques et difficiles à comparer.</x:v>
      </x:c>
      <x:c r="V20" s="30" t="str">
        <x:f>IFERROR(INDEX('Bibliothèque constats'!$M$5:$M$88,MATCH($M20,'Bibliothèque constats'!$A$5:$A$88,0)),"")</x:f>
        <x:v>Où conservez-vous les raisons recueillies auprès des prospects perdus ?</x:v>
      </x:c>
      <x:c r="W20" s="30" t="str">
        <x:f>IFERROR(INDEX('Bibliothèque constats'!$E$5:$E$88,MATCH($M20,'Bibliothèque constats'!$A$5:$A$88,0)),"")</x:f>
        <x:v>Il m’arrive de lui demander ce qui a motivé son choix.</x:v>
      </x:c>
      <x:c r="X20" s="30" t="n">
        <x:f>IF(AND(Q20&gt;0,T20&lt;&gt;""),Q20*1000-ROW(),0)</x:f>
        <x:v>980</x:v>
      </x:c>
      <x:c r="Y20" s="30" t="n">
        <x:f>IF(P20="Force",1000-ROW(),0)</x:f>
        <x:v>0</x:v>
      </x:c>
    </x:row>
    <x:row r="21" ht="46.5" customHeight="1">
      <x:c r="A21" s="30" t="n">
        <x:f>IF(LARGE($Y$5:$Y$25,3)&lt;=0,"",3)</x:f>
        <x:v>3</x:v>
      </x:c>
      <x:c r="B21" s="30" t="str">
        <x:f>IFERROR(IF(LARGE($Y$5:$Y$25,3)&lt;=0,"",INDEX($S$5:$S$25,MATCH(LARGE($Y$5:$Y$25,3),$Y$5:$Y$25,0))),"")</x:f>
        <x:v>Un paiement peut être recherché à partir de sa référence.</x:v>
      </x:c>
      <x:c r="C21" s="30" t="str">
        <x:f>IFERROR(IF(LARGE($Y$5:$Y$25,3)&lt;=0,"",INDEX($O$5:$O$25,MATCH(LARGE($Y$5:$Y$25,3),$Y$5:$Y$25,0))),"")</x:f>
        <x:v>Traçabilité d’un paiement</x:v>
      </x:c>
      <x:c r="D21" s="30" t="str">
        <x:f>IFERROR(IF(LARGE($Y$5:$Y$25,3)&lt;=0,"",INDEX($W$5:$W$25,MATCH(LARGE($Y$5:$Y$25,3),$Y$5:$Y$25,0))),"")</x:f>
        <x:v>Je recherche la transaction à partir de sa référence.</x:v>
      </x:c>
      <x:c r="E21" s="30" t="str">
        <x:f>IFERROR(IF(LARGE($Y$5:$Y$25,3)&lt;=0,"",INDEX($V$5:$V$25,MATCH(LARGE($Y$5:$Y$25,3),$Y$5:$Y$25,0))),"")</x:f>
        <x:v>La référence permet-elle aussi de retrouver la commande et le client concernés ?</x:v>
      </x:c>
      <x:c r="M21" s="30" t="str">
        <x:f>'Simulateur'!D42</x:f>
        <x:v>R3C</x:v>
      </x:c>
      <x:c r="N21" s="30" t="str">
        <x:f>IFERROR(INDEX('Bibliothèque constats'!$B$5:$B$88,MATCH($M21,'Bibliothèque constats'!$A$5:$A$88,0)),"")</x:f>
        <x:v>Rayonnement</x:v>
      </x:c>
      <x:c r="O21" s="30" t="str">
        <x:f>IFERROR(INDEX('Bibliothèque constats'!$F$5:$F$88,MATCH($M21,'Bibliothèque constats'!$A$5:$A$88,0)),"")</x:f>
        <x:v>Différenciation</x:v>
      </x:c>
      <x:c r="P21" s="30" t="str">
        <x:f>IFERROR(INDEX('Bibliothèque constats'!$G$5:$G$88,MATCH($M21,'Bibliothèque constats'!$A$5:$A$88,0)),"")</x:f>
        <x:v>Contexte</x:v>
      </x:c>
      <x:c r="Q21" s="30" t="n">
        <x:f>IFERROR(INDEX('Bibliothèque constats'!$H$5:$H$88,MATCH($M21,'Bibliothèque constats'!$A$5:$A$88,0)),"")</x:f>
        <x:v>0</x:v>
      </x:c>
      <x:c r="R21" s="30" t="str">
        <x:f>IFERROR(INDEX('Bibliothèque constats'!$I$5:$I$88,MATCH($M21,'Bibliothèque constats'!$A$5:$A$88,0)),"")</x:f>
        <x:v>Aucune alerte</x:v>
      </x:c>
      <x:c r="S21" s="30" t="str">
        <x:f>IFERROR(INDEX('Bibliothèque constats'!$J$5:$J$88,MATCH($M21,'Bibliothèque constats'!$A$5:$A$88,0)),"")</x:f>
        <x:v>La principale raison de choix déclarée est la qualité.</x:v>
      </x:c>
      <x:c r="T21" s="30" t="str">
        <x:f>IFERROR(INDEX('Bibliothèque constats'!$K$5:$K$88,MATCH($M21,'Bibliothèque constats'!$A$5:$A$88,0)),"")</x:f>
      </x:c>
      <x:c r="U21" s="30" t="str">
        <x:f>IFERROR(INDEX('Bibliothèque constats'!$L$5:$L$88,MATCH($M21,'Bibliothèque constats'!$A$5:$A$88,0)),"")</x:f>
        <x:v>La qualité doit être rendue visible et prouvée avant l’achat.</x:v>
      </x:c>
      <x:c r="V21" s="30" t="str">
        <x:f>IFERROR(INDEX('Bibliothèque constats'!$M$5:$M$88,MATCH($M21,'Bibliothèque constats'!$A$5:$A$88,0)),"")</x:f>
        <x:v>Comment un nouveau prospect peut-il vérifier votre niveau de qualité avant de vous choisir ?</x:v>
      </x:c>
      <x:c r="W21" s="30" t="str">
        <x:f>IFERROR(INDEX('Bibliothèque constats'!$E$5:$E$88,MATCH($M21,'Bibliothèque constats'!$A$5:$A$88,0)),"")</x:f>
        <x:v>Ils reviennent parce qu’ils font confiance à la qualité de ce que je propose.</x:v>
      </x:c>
      <x:c r="X21" s="30" t="n">
        <x:f>IF(AND(Q21&gt;0,T21&lt;&gt;""),Q21*1000-ROW(),0)</x:f>
        <x:v>0</x:v>
      </x:c>
      <x:c r="Y21" s="30" t="n">
        <x:f>IF(P21="Force",1000-ROW(),0)</x:f>
        <x:v>0</x:v>
      </x:c>
    </x:row>
    <x:row r="22" ht="46.5" customHeight="1">
      <x:c r="A22" s="31" t="str">
        <x:f>IF(LARGE($Y$5:$Y$25,4)&lt;=0,"",4)</x:f>
      </x:c>
      <x:c r="B22" s="31" t="str">
        <x:f>IFERROR(IF(LARGE($Y$5:$Y$25,4)&lt;=0,"",INDEX($S$5:$S$25,MATCH(LARGE($Y$5:$Y$25,4),$Y$5:$Y$25,0))),"")</x:f>
      </x:c>
      <x:c r="C22" s="31" t="str">
        <x:f>IFERROR(IF(LARGE($Y$5:$Y$25,4)&lt;=0,"",INDEX($O$5:$O$25,MATCH(LARGE($Y$5:$Y$25,4),$Y$5:$Y$25,0))),"")</x:f>
      </x:c>
      <x:c r="D22" s="31" t="str">
        <x:f>IFERROR(IF(LARGE($Y$5:$Y$25,4)&lt;=0,"",INDEX($W$5:$W$25,MATCH(LARGE($Y$5:$Y$25,4),$Y$5:$Y$25,0))),"")</x:f>
      </x:c>
      <x:c r="E22" s="31" t="str">
        <x:f>IFERROR(IF(LARGE($Y$5:$Y$25,4)&lt;=0,"",INDEX($V$5:$V$25,MATCH(LARGE($Y$5:$Y$25,4),$Y$5:$Y$25,0))),"")</x:f>
      </x:c>
      <x:c r="M22" s="30" t="str">
        <x:f>'Simulateur'!D43</x:f>
        <x:v>R4C</x:v>
      </x:c>
      <x:c r="N22" s="30" t="str">
        <x:f>IFERROR(INDEX('Bibliothèque constats'!$B$5:$B$88,MATCH($M22,'Bibliothèque constats'!$A$5:$A$88,0)),"")</x:f>
        <x:v>Rayonnement</x:v>
      </x:c>
      <x:c r="O22" s="30" t="str">
        <x:f>IFERROR(INDEX('Bibliothèque constats'!$F$5:$F$88,MATCH($M22,'Bibliothèque constats'!$A$5:$A$88,0)),"")</x:f>
        <x:v>Différenciation</x:v>
      </x:c>
      <x:c r="P22" s="30" t="str">
        <x:f>IFERROR(INDEX('Bibliothèque constats'!$G$5:$G$88,MATCH($M22,'Bibliothèque constats'!$A$5:$A$88,0)),"")</x:f>
        <x:v>Point de vigilance</x:v>
      </x:c>
      <x:c r="Q22" s="30" t="n">
        <x:f>IFERROR(INDEX('Bibliothèque constats'!$H$5:$H$88,MATCH($M22,'Bibliothèque constats'!$A$5:$A$88,0)),"")</x:f>
        <x:v>1</x:v>
      </x:c>
      <x:c r="R22" s="30" t="str">
        <x:f>IFERROR(INDEX('Bibliothèque constats'!$I$5:$I$88,MATCH($M22,'Bibliothèque constats'!$A$5:$A$88,0)),"")</x:f>
        <x:v>Légère</x:v>
      </x:c>
      <x:c r="S22" s="30" t="str">
        <x:f>IFERROR(INDEX('Bibliothèque constats'!$J$5:$J$88,MATCH($M22,'Bibliothèque constats'!$A$5:$A$88,0)),"")</x:f>
        <x:v>La différence apparaît déjà dans les offres et la communication.</x:v>
      </x:c>
      <x:c r="T22" s="30" t="str">
        <x:f>IFERROR(INDEX('Bibliothèque constats'!$K$5:$K$88,MATCH($M22,'Bibliothèque constats'!$A$5:$A$88,0)),"")</x:f>
        <x:v>La différenciation est formulée, mais sa reconnaissance spontanée n’est pas encore établie.</x:v>
      </x:c>
      <x:c r="U22" s="30" t="str">
        <x:f>IFERROR(INDEX('Bibliothèque constats'!$L$5:$L$88,MATCH($M22,'Bibliothèque constats'!$A$5:$A$88,0)),"")</x:f>
        <x:v>Le marché peut voir la différence sans encore l’associer fortement à la marque.</x:v>
      </x:c>
      <x:c r="V22" s="30" t="str">
        <x:f>IFERROR(INDEX('Bibliothèque constats'!$M$5:$M$88,MATCH($M22,'Bibliothèque constats'!$A$5:$A$88,0)),"")</x:f>
        <x:v>Quelles preuves montrent que les prospects perçoivent réellement cette différence ?</x:v>
      </x:c>
      <x:c r="W22" s="30" t="str">
        <x:f>IFERROR(INDEX('Bibliothèque constats'!$E$5:$E$88,MATCH($M22,'Bibliothèque constats'!$A$5:$A$88,0)),"")</x:f>
        <x:v>Ma différence apparaît déjà dans mes offres et ma communication.</x:v>
      </x:c>
      <x:c r="X22" s="30" t="n">
        <x:f>IF(AND(Q22&gt;0,T22&lt;&gt;""),Q22*1000-ROW(),0)</x:f>
        <x:v>978</x:v>
      </x:c>
      <x:c r="Y22" s="30" t="n">
        <x:f>IF(P22="Force",1000-ROW(),0)</x:f>
        <x:v>0</x:v>
      </x:c>
    </x:row>
    <x:row r="23">
      <x:c r="M23" s="30" t="str">
        <x:f>'Simulateur'!D44</x:f>
        <x:v>R5C</x:v>
      </x:c>
      <x:c r="N23" s="30" t="str">
        <x:f>IFERROR(INDEX('Bibliothèque constats'!$B$5:$B$88,MATCH($M23,'Bibliothèque constats'!$A$5:$A$88,0)),"")</x:f>
        <x:v>Rayonnement</x:v>
      </x:c>
      <x:c r="O23" s="30" t="str">
        <x:f>IFERROR(INDEX('Bibliothèque constats'!$F$5:$F$88,MATCH($M23,'Bibliothèque constats'!$A$5:$A$88,0)),"")</x:f>
        <x:v>Présence digitale</x:v>
      </x:c>
      <x:c r="P23" s="30" t="str">
        <x:f>IFERROR(INDEX('Bibliothèque constats'!$G$5:$G$88,MATCH($M23,'Bibliothèque constats'!$A$5:$A$88,0)),"")</x:f>
        <x:v>Point de vigilance</x:v>
      </x:c>
      <x:c r="Q23" s="30" t="n">
        <x:f>IFERROR(INDEX('Bibliothèque constats'!$H$5:$H$88,MATCH($M23,'Bibliothèque constats'!$A$5:$A$88,0)),"")</x:f>
        <x:v>1</x:v>
      </x:c>
      <x:c r="R23" s="30" t="str">
        <x:f>IFERROR(INDEX('Bibliothèque constats'!$I$5:$I$88,MATCH($M23,'Bibliothèque constats'!$A$5:$A$88,0)),"")</x:f>
        <x:v>Légère</x:v>
      </x:c>
      <x:c r="S23" s="30" t="str">
        <x:f>IFERROR(INDEX('Bibliothèque constats'!$J$5:$J$88,MATCH($M23,'Bibliothèque constats'!$A$5:$A$88,0)),"")</x:f>
        <x:v>La communication est régulière sur un canal principal.</x:v>
      </x:c>
      <x:c r="T23" s="30" t="str">
        <x:f>IFERROR(INDEX('Bibliothèque constats'!$K$5:$K$88,MATCH($M23,'Bibliothèque constats'!$A$5:$A$88,0)),"")</x:f>
        <x:v>La présence numérique repose essentiellement sur un seul canal.</x:v>
      </x:c>
      <x:c r="U23" s="30" t="str">
        <x:f>IFERROR(INDEX('Bibliothèque constats'!$L$5:$L$88,MATCH($M23,'Bibliothèque constats'!$A$5:$A$88,0)),"")</x:f>
        <x:v>La portée et l’acquisition peuvent dépendre fortement de ce canal.</x:v>
      </x:c>
      <x:c r="V23" s="30" t="str">
        <x:f>IFERROR(INDEX('Bibliothèque constats'!$M$5:$M$88,MATCH($M23,'Bibliothèque constats'!$A$5:$A$88,0)),"")</x:f>
        <x:v>Que se passerait-il si ce canal produisait soudainement moins de résultats ?</x:v>
      </x:c>
      <x:c r="W23" s="30" t="str">
        <x:f>IFERROR(INDEX('Bibliothèque constats'!$E$5:$E$88,MATCH($M23,'Bibliothèque constats'!$A$5:$A$88,0)),"")</x:f>
        <x:v>Je communique régulièrement sur le canal que j’utilise le plus.</x:v>
      </x:c>
      <x:c r="X23" s="30" t="n">
        <x:f>IF(AND(Q23&gt;0,T23&lt;&gt;""),Q23*1000-ROW(),0)</x:f>
        <x:v>977</x:v>
      </x:c>
      <x:c r="Y23" s="30" t="n">
        <x:f>IF(P23="Force",1000-ROW(),0)</x:f>
        <x:v>0</x:v>
      </x:c>
    </x:row>
    <x:row r="24" ht="25.5" customHeight="1">
      <x:c r="A24" s="10" t="inlineStr">
        <x:is>
          <x:t xml:space="preserve">Informations utiles pour préparer l’échange</x:t>
        </x:is>
      </x:c>
      <x:c r="M24" s="30" t="str">
        <x:f>'Simulateur'!D45</x:f>
        <x:v>R6C</x:v>
      </x:c>
      <x:c r="N24" s="30" t="str">
        <x:f>IFERROR(INDEX('Bibliothèque constats'!$B$5:$B$88,MATCH($M24,'Bibliothèque constats'!$A$5:$A$88,0)),"")</x:f>
        <x:v>Rayonnement</x:v>
      </x:c>
      <x:c r="O24" s="30" t="str">
        <x:f>IFERROR(INDEX('Bibliothèque constats'!$F$5:$F$88,MATCH($M24,'Bibliothèque constats'!$A$5:$A$88,0)),"")</x:f>
        <x:v>Performance digitale</x:v>
      </x:c>
      <x:c r="P24" s="30" t="str">
        <x:f>IFERROR(INDEX('Bibliothèque constats'!$G$5:$G$88,MATCH($M24,'Bibliothèque constats'!$A$5:$A$88,0)),"")</x:f>
        <x:v>Point de vigilance</x:v>
      </x:c>
      <x:c r="Q24" s="30" t="n">
        <x:f>IFERROR(INDEX('Bibliothèque constats'!$H$5:$H$88,MATCH($M24,'Bibliothèque constats'!$A$5:$A$88,0)),"")</x:f>
        <x:v>1</x:v>
      </x:c>
      <x:c r="R24" s="30" t="str">
        <x:f>IFERROR(INDEX('Bibliothèque constats'!$I$5:$I$88,MATCH($M24,'Bibliothèque constats'!$A$5:$A$88,0)),"")</x:f>
        <x:v>Légère</x:v>
      </x:c>
      <x:c r="S24" s="30" t="str">
        <x:f>IFERROR(INDEX('Bibliothèque constats'!$J$5:$J$88,MATCH($M24,'Bibliothèque constats'!$A$5:$A$88,0)),"")</x:f>
        <x:v>La présence numérique génère régulièrement des demandes ou des devis.</x:v>
      </x:c>
      <x:c r="T24" s="30" t="str">
        <x:f>IFERROR(INDEX('Bibliothèque constats'!$K$5:$K$88,MATCH($M24,'Bibliothèque constats'!$A$5:$A$88,0)),"")</x:f>
        <x:v>Les opportunités existent, mais leur transformation en ventes n’est pas encore démontrée.</x:v>
      </x:c>
      <x:c r="U24" s="30" t="str">
        <x:f>IFERROR(INDEX('Bibliothèque constats'!$L$5:$L$88,MATCH($M24,'Bibliothèque constats'!$A$5:$A$88,0)),"")</x:f>
        <x:v>Le suivi entre la demande initiale et la vente peut manquer de mesure.</x:v>
      </x:c>
      <x:c r="V24" s="30" t="str">
        <x:f>IFERROR(INDEX('Bibliothèque constats'!$M$5:$M$88,MATCH($M24,'Bibliothèque constats'!$A$5:$A$88,0)),"")</x:f>
        <x:v>Quelle proportion de ces demandes devient réellement cliente ?</x:v>
      </x:c>
      <x:c r="W24" s="30" t="str">
        <x:f>IFERROR(INDEX('Bibliothèque constats'!$E$5:$E$88,MATCH($M24,'Bibliothèque constats'!$A$5:$A$88,0)),"")</x:f>
        <x:v>Elle génère régulièrement des demandes d’information ou de devis.</x:v>
      </x:c>
      <x:c r="X24" s="30" t="n">
        <x:f>IF(AND(Q24&gt;0,T24&lt;&gt;""),Q24*1000-ROW(),0)</x:f>
        <x:v>976</x:v>
      </x:c>
      <x:c r="Y24" s="30" t="n">
        <x:f>IF(P24="Force",1000-ROW(),0)</x:f>
        <x:v>0</x:v>
      </x:c>
    </x:row>
    <x:row r="25" ht="36" customHeight="1">
      <x:c r="A25" s="117" t="inlineStr">
        <x:is>
          <x:t xml:space="preserve">Canal de vente déclaré</x:t>
        </x:is>
      </x:c>
      <x:c r="C25" s="29" t="str">
        <x:f>IF(S15="","",S15&amp;" Réponse : "&amp;W15)</x:f>
        <x:v>Les ventes passent principalement par les réseaux sociaux et les messageries. Réponse : Je vends principalement à travers les réseaux sociaux et les messageries.</x:v>
      </x:c>
      <x:c r="D25" s="121" t="n"/>
      <x:c r="E25" s="121" t="n"/>
      <x:c r="F25" s="121" t="n"/>
      <x:c r="M25" s="31" t="str">
        <x:f>'Simulateur'!D46</x:f>
        <x:v>R7C</x:v>
      </x:c>
      <x:c r="N25" s="31" t="str">
        <x:f>IFERROR(INDEX('Bibliothèque constats'!$B$5:$B$88,MATCH($M25,'Bibliothèque constats'!$A$5:$A$88,0)),"")</x:f>
        <x:v>Rayonnement</x:v>
      </x:c>
      <x:c r="O25" s="31" t="str">
        <x:f>IFERROR(INDEX('Bibliothèque constats'!$F$5:$F$88,MATCH($M25,'Bibliothèque constats'!$A$5:$A$88,0)),"")</x:f>
        <x:v>Empreinte marché</x:v>
      </x:c>
      <x:c r="P25" s="31" t="str">
        <x:f>IFERROR(INDEX('Bibliothèque constats'!$G$5:$G$88,MATCH($M25,'Bibliothèque constats'!$A$5:$A$88,0)),"")</x:f>
        <x:v>Point de vigilance</x:v>
      </x:c>
      <x:c r="Q25" s="31" t="n">
        <x:f>IFERROR(INDEX('Bibliothèque constats'!$H$5:$H$88,MATCH($M25,'Bibliothèque constats'!$A$5:$A$88,0)),"")</x:f>
        <x:v>1</x:v>
      </x:c>
      <x:c r="R25" s="31" t="str">
        <x:f>IFERROR(INDEX('Bibliothèque constats'!$I$5:$I$88,MATCH($M25,'Bibliothèque constats'!$A$5:$A$88,0)),"")</x:f>
        <x:v>Légère</x:v>
      </x:c>
      <x:c r="S25" s="31" t="str">
        <x:f>IFERROR(INDEX('Bibliothèque constats'!$J$5:$J$88,MATCH($M25,'Bibliothèque constats'!$A$5:$A$88,0)),"")</x:f>
        <x:v>Certains partenaires ou professionnels remarqueraient l’arrêt de l’activité.</x:v>
      </x:c>
      <x:c r="T25" s="31" t="str">
        <x:f>IFERROR(INDEX('Bibliothèque constats'!$K$5:$K$88,MATCH($M25,'Bibliothèque constats'!$A$5:$A$88,0)),"")</x:f>
        <x:v>L’entreprise compte dans son réseau, mais son absence ne serait pas encore largement ressentie par le marché.</x:v>
      </x:c>
      <x:c r="U25" s="31" t="str">
        <x:f>IFERROR(INDEX('Bibliothèque constats'!$L$5:$L$88,MATCH($M25,'Bibliothèque constats'!$A$5:$A$88,0)),"")</x:f>
        <x:v>L’autorité professionnelle peut être plus avancée que la préférence du marché.</x:v>
      </x:c>
      <x:c r="V25" s="31" t="str">
        <x:f>IFERROR(INDEX('Bibliothèque constats'!$M$5:$M$88,MATCH($M25,'Bibliothèque constats'!$A$5:$A$88,0)),"")</x:f>
        <x:v>Comment cette reconnaissance professionnelle se transforme-t-elle en nouvelles opportunités ?</x:v>
      </x:c>
      <x:c r="W25" s="31" t="str">
        <x:f>IFERROR(INDEX('Bibliothèque constats'!$E$5:$E$88,MATCH($M25,'Bibliothèque constats'!$A$5:$A$88,0)),"")</x:f>
        <x:v>Certains partenaires ou professionnels de mon secteur le remarqueraient.</x:v>
      </x:c>
      <x:c r="X25" s="31" t="n">
        <x:f>IF(AND(Q25&gt;0,T25&lt;&gt;""),Q25*1000-ROW(),0)</x:f>
        <x:v>975</x:v>
      </x:c>
      <x:c r="Y25" s="31" t="n">
        <x:f>IF(P25="Force",1000-ROW(),0)</x:f>
        <x:v>0</x:v>
      </x:c>
    </x:row>
    <x:row r="26" ht="36" customHeight="1">
      <x:c r="A26" s="117" t="inlineStr">
        <x:is>
          <x:t xml:space="preserve">Condition d’adoption déclarée</x:t>
        </x:is>
      </x:c>
      <x:c r="C26" s="30" t="str">
        <x:f>IF(S17="","",S17&amp;" Réponse : "&amp;W17)</x:f>
        <x:v>Le changement est envisagé seulement lorsque le besoin devient urgent. Réponse : Je préfère attendre que le besoin devienne vraiment urgent avant de changer.</x:v>
      </x:c>
      <x:c r="D26" s="122" t="n"/>
      <x:c r="E26" s="122" t="n"/>
      <x:c r="F26" s="122" t="n"/>
    </x:row>
    <x:row r="27" ht="36" customHeight="1">
      <x:c r="A27" s="117" t="inlineStr">
        <x:is>
          <x:t xml:space="preserve">Progrès prioritaire déclaré</x:t>
        </x:is>
      </x:c>
      <x:c r="C27" s="30" t="str">
        <x:f>IF(S18="","",S18&amp;" Réponse : "&amp;W18)</x:f>
        <x:v>Le progrès prioritaire déclaré est de connaître la trésorerie sans attendre la fin du mois. Réponse : Je pourrais connaître l’état de ma trésorerie sans attendre la fin du mois.</x:v>
      </x:c>
      <x:c r="D27" s="122" t="n"/>
      <x:c r="E27" s="122" t="n"/>
      <x:c r="F27" s="122" t="n"/>
    </x:row>
    <x:row r="28" ht="36" customHeight="1">
      <x:c r="A28" s="117" t="inlineStr">
        <x:is>
          <x:t xml:space="preserve">Nature de différenciation déclarée</x:t>
        </x:is>
      </x:c>
      <x:c r="C28" s="31" t="str">
        <x:f>IF(S21="","",S21&amp;" Réponse : "&amp;W21)</x:f>
        <x:v>La principale raison de choix déclarée est la qualité. Réponse : Ils reviennent parce qu’ils font confiance à la qualité de ce que je propose.</x:v>
      </x:c>
      <x:c r="D28" s="123" t="n"/>
      <x:c r="E28" s="123" t="n"/>
      <x:c r="F28" s="123" t="n"/>
    </x:row>
    <x:row r="29">
      <x:c r="M29" s="19" t="inlineStr">
        <x:is>
          <x:t xml:space="preserve">ID</x:t>
        </x:is>
      </x:c>
      <x:c r="N29" s="20" t="inlineStr">
        <x:is>
          <x:t xml:space="preserve">Thème</x:t>
        </x:is>
      </x:c>
      <x:c r="O29" s="20" t="inlineStr">
        <x:is>
          <x:t xml:space="preserve">Gravité</x:t>
        </x:is>
      </x:c>
      <x:c r="P29" s="20" t="inlineStr">
        <x:is>
          <x:t xml:space="preserve">Niveau</x:t>
        </x:is>
      </x:c>
      <x:c r="Q29" s="20" t="inlineStr">
        <x:is>
          <x:t xml:space="preserve">Signaux</x:t>
        </x:is>
      </x:c>
      <x:c r="R29" s="20" t="inlineStr">
        <x:is>
          <x:t xml:space="preserve">Hypothèse</x:t>
        </x:is>
      </x:c>
      <x:c r="S29" s="20" t="inlineStr">
        <x:is>
          <x:t xml:space="preserve">Relance</x:t>
        </x:is>
      </x:c>
      <x:c r="T29" s="20" t="inlineStr">
        <x:is>
          <x:t xml:space="preserve">Détectée</x:t>
        </x:is>
      </x:c>
      <x:c r="U29" s="21" t="inlineStr">
        <x:is>
          <x:t xml:space="preserve">Rang</x:t>
        </x:is>
      </x:c>
    </x:row>
    <x:row r="30" ht="25.5" customHeight="1">
      <x:c r="A30" s="10" t="inlineStr">
        <x:is>
          <x:t xml:space="preserve">Hypothèses issues du croisement des réponses</x:t>
        </x:is>
      </x:c>
      <x:c r="M30" s="29" t="inlineStr">
        <x:is>
          <x:t xml:space="preserve">RC01</x:t>
        </x:is>
      </x:c>
      <x:c r="N30" s="29" t="inlineStr">
        <x:is>
          <x:t xml:space="preserve">Parcours social fragmenté</x:t>
        </x:is>
      </x:c>
      <x:c r="O30" s="29" t="n">
        <x:v>2</x:v>
      </x:c>
      <x:c r="P30" s="29" t="inlineStr">
        <x:is>
          <x:t xml:space="preserve">Modérée</x:t>
        </x:is>
      </x:c>
      <x:c r="Q30" s="29" t="inlineStr">
        <x:is>
          <x:t xml:space="preserve">Les ventes passent par les réseaux sociaux, mais le passage des interactions ou demandes numériques à des ventes mesurées reste à clarifier.</x:t>
        </x:is>
      </x:c>
      <x:c r="R30" s="29" t="inlineStr">
        <x:is>
          <x:t xml:space="preserve">Le parcours entre découverte, conversation, commande et paiement pourrait être fragmenté.</x:t>
        </x:is>
      </x:c>
      <x:c r="S30" s="29" t="inlineStr">
        <x:is>
          <x:t xml:space="preserve">Après une demande reçue sur les réseaux sociaux, quelles étapes le client suit-il jusqu’au paiement ?</x:t>
        </x:is>
      </x:c>
      <x:c r="T30" s="29" t="str">
        <x:f>IF(AND(COUNTIF('Simulateur'!$D$10:$D$23,"Q11C")&gt;0,OR(COUNTIF('Simulateur'!$D$40:$D$46,"R6A")&gt;0,COUNTIF('Simulateur'!$D$40:$D$46,"R6B")&gt;0,COUNTIF('Simulateur'!$D$40:$D$46,"R6C")&gt;0)),"Oui","")</x:f>
        <x:v>Oui</x:v>
      </x:c>
      <x:c r="U30" s="29" t="n">
        <x:f>IF(T30="Oui",O30*1000-ROW(),0)</x:f>
        <x:v>1970</x:v>
      </x:c>
    </x:row>
    <x:row r="31">
      <x:c r="A31" s="120" t="inlineStr">
        <x:is>
          <x:t xml:space="preserve">À présenter comme des questions à confirmer avec le prospect, jamais comme des faits établis.</x:t>
        </x:is>
      </x:c>
      <x:c r="M31" s="30" t="inlineStr">
        <x:is>
          <x:t xml:space="preserve">RC02</x:t>
        </x:is>
      </x:c>
      <x:c r="N31" s="30" t="inlineStr">
        <x:is>
          <x:t xml:space="preserve">Site vitrine déconnecté</x:t>
        </x:is>
      </x:c>
      <x:c r="O31" s="30" t="n">
        <x:v>2</x:v>
      </x:c>
      <x:c r="P31" s="30" t="inlineStr">
        <x:is>
          <x:t xml:space="preserve">Modérée</x:t>
        </x:is>
      </x:c>
      <x:c r="Q31" s="30" t="inlineStr">
        <x:is>
          <x:t xml:space="preserve">Le site présente l’offre, mais la commande se finalise ailleurs et le digital produit peu d’opportunités.</x:t>
        </x:is>
      </x:c>
      <x:c r="R31" s="30" t="inlineStr">
        <x:is>
          <x:t xml:space="preserve">Le passage du site vers la commande ou le paiement pourrait provoquer des abandons.</x:t>
        </x:is>
      </x:c>
      <x:c r="S31" s="30" t="inlineStr">
        <x:is>
          <x:t xml:space="preserve">Que doit faire un visiteur intéressé après avoir consulté une offre sur votre site ?</x:t>
        </x:is>
      </x:c>
      <x:c r="T31" s="30" t="str">
        <x:f>IF(AND(COUNTIF('Simulateur'!$D$10:$D$23,"Q11B")&gt;0,OR(COUNTIF('Simulateur'!$D$40:$D$46,"R6A")&gt;0,COUNTIF('Simulateur'!$D$40:$D$46,"R6B")&gt;0)),"Oui","")</x:f>
      </x:c>
      <x:c r="U31" s="30" t="n">
        <x:f>IF(T31="Oui",O31*1000-ROW(),0)</x:f>
        <x:v>0</x:v>
      </x:c>
    </x:row>
    <x:row r="32" ht="28.5" customHeight="1">
      <x:c r="A32" s="19" t="inlineStr">
        <x:is>
          <x:t xml:space="preserve">#</x:t>
        </x:is>
      </x:c>
      <x:c r="B32" s="20" t="inlineStr">
        <x:is>
          <x:t xml:space="preserve">Thème</x:t>
        </x:is>
      </x:c>
      <x:c r="C32" s="20" t="inlineStr">
        <x:is>
          <x:t xml:space="preserve">Gravité</x:t>
        </x:is>
      </x:c>
      <x:c r="D32" s="20" t="inlineStr">
        <x:is>
          <x:t xml:space="preserve">Signaux croisés</x:t>
        </x:is>
      </x:c>
      <x:c r="E32" s="20" t="inlineStr">
        <x:is>
          <x:t xml:space="preserve">Hypothèse à confirmer</x:t>
        </x:is>
      </x:c>
      <x:c r="F32" s="21" t="inlineStr">
        <x:is>
          <x:t xml:space="preserve">Question de relance</x:t>
        </x:is>
      </x:c>
      <x:c r="M32" s="30" t="inlineStr">
        <x:is>
          <x:t xml:space="preserve">RC03</x:t>
        </x:is>
      </x:c>
      <x:c r="N32" s="30" t="inlineStr">
        <x:is>
          <x:t xml:space="preserve">Site transactionnel peu performant</x:t>
        </x:is>
      </x:c>
      <x:c r="O32" s="30" t="n">
        <x:v>2</x:v>
      </x:c>
      <x:c r="P32" s="30" t="inlineStr">
        <x:is>
          <x:t xml:space="preserve">Modérée</x:t>
        </x:is>
      </x:c>
      <x:c r="Q32" s="30" t="inlineStr">
        <x:is>
          <x:t xml:space="preserve">Le site permet de commander et payer, mais les effets numériques restent faibles ou non mesurés.</x:t>
        </x:is>
      </x:c>
      <x:c r="R32" s="30" t="inlineStr">
        <x:is>
          <x:t xml:space="preserve">La difficulté pourrait se situer dans l’acquisition, la conversion ou la mesure du parcours.</x:t>
        </x:is>
      </x:c>
      <x:c r="S32" s="30" t="inlineStr">
        <x:is>
          <x:t xml:space="preserve">À quelle étape du site perdez-vous le plus de visiteurs ou de commandes ?</x:t>
        </x:is>
      </x:c>
      <x:c r="T32" s="30" t="str">
        <x:f>IF(AND(COUNTIF('Simulateur'!$D$10:$D$23,"Q11A")&gt;0,OR(COUNTIF('Simulateur'!$D$40:$D$46,"R6A")&gt;0,COUNTIF('Simulateur'!$D$40:$D$46,"R6B")&gt;0)),"Oui","")</x:f>
      </x:c>
      <x:c r="U32" s="30" t="n">
        <x:f>IF(T32="Oui",O32*1000-ROW(),0)</x:f>
        <x:v>0</x:v>
      </x:c>
    </x:row>
    <x:row r="33" ht="61.5" customHeight="1">
      <x:c r="A33" s="29" t="n">
        <x:f>IF(LARGE($U$30:$U$45,1)&lt;=0,"",1)</x:f>
        <x:v>1</x:v>
      </x:c>
      <x:c r="B33" s="29" t="str">
        <x:f>IFERROR(IF(LARGE($U$30:$U$45,1)&lt;=0,"",INDEX($N$30:$N$45,MATCH(LARGE($U$30:$U$45,1),$U$30:$U$45,0))),"")</x:f>
        <x:v>Parcours social fragmenté</x:v>
      </x:c>
      <x:c r="C33" s="29" t="str">
        <x:f>IFERROR(IF(LARGE($U$30:$U$45,1)&lt;=0,"",INDEX($P$30:$P$45,MATCH(LARGE($U$30:$U$45,1),$U$30:$U$45,0))),"")</x:f>
        <x:v>Modérée</x:v>
      </x:c>
      <x:c r="D33" s="29" t="str">
        <x:f>IFERROR(IF(LARGE($U$30:$U$45,1)&lt;=0,"",INDEX($Q$30:$Q$45,MATCH(LARGE($U$30:$U$45,1),$U$30:$U$45,0))),"")</x:f>
        <x:v>Les ventes passent par les réseaux sociaux, mais le passage des interactions ou demandes numériques à des ventes mesurées reste à clarifier.</x:v>
      </x:c>
      <x:c r="E33" s="29" t="str">
        <x:f>IFERROR(IF(LARGE($U$30:$U$45,1)&lt;=0,"",INDEX($R$30:$R$45,MATCH(LARGE($U$30:$U$45,1),$U$30:$U$45,0))),"")</x:f>
        <x:v>Le parcours entre découverte, conversation, commande et paiement pourrait être fragmenté.</x:v>
      </x:c>
      <x:c r="F33" s="29" t="str">
        <x:f>IFERROR(IF(LARGE($U$30:$U$45,1)&lt;=0,"",INDEX($S$30:$S$45,MATCH(LARGE($U$30:$U$45,1),$U$30:$U$45,0))),"")</x:f>
        <x:v>Après une demande reçue sur les réseaux sociaux, quelles étapes le client suit-il jusqu’au paiement ?</x:v>
      </x:c>
      <x:c r="M33" s="30" t="inlineStr">
        <x:is>
          <x:t xml:space="preserve">RC04</x:t>
        </x:is>
      </x:c>
      <x:c r="N33" s="30" t="inlineStr">
        <x:is>
          <x:t xml:space="preserve">Encaissement à distance incomplet</x:t>
        </x:is>
      </x:c>
      <x:c r="O33" s="30" t="n">
        <x:v>3</x:v>
      </x:c>
      <x:c r="P33" s="30" t="inlineStr">
        <x:is>
          <x:t xml:space="preserve">Élevée</x:t>
        </x:is>
      </x:c>
      <x:c r="Q33" s="30" t="inlineStr">
        <x:is>
          <x:t xml:space="preserve">L’activité possède un canal de vente digital, mais ne dispose pas d’un parcours organisé pour encaisser à distance.</x:t>
        </x:is>
      </x:c>
      <x:c r="R33" s="30" t="inlineStr">
        <x:is>
          <x:t xml:space="preserve">La finalisation du paiement pourrait interrompre certaines ventes digitales.</x:t>
        </x:is>
      </x:c>
      <x:c r="S33" s="30" t="inlineStr">
        <x:is>
          <x:t xml:space="preserve">Combien de demandes à distance restent sans suite au moment de payer ?</x:t>
        </x:is>
      </x:c>
      <x:c r="T33" s="30" t="str">
        <x:f>IF(AND(OR(COUNTIF('Simulateur'!$D$10:$D$23,"Q10C")&gt;0,COUNTIF('Simulateur'!$D$10:$D$23,"Q10D")&gt;0),OR(COUNTIF('Simulateur'!$D$10:$D$23,"Q11A")&gt;0,COUNTIF('Simulateur'!$D$10:$D$23,"Q11B")&gt;0,COUNTIF('Simulateur'!$D$10:$D$23,"Q11C")&gt;0)),"Oui","")</x:f>
      </x:c>
      <x:c r="U33" s="30" t="n">
        <x:f>IF(T33="Oui",O33*1000-ROW(),0)</x:f>
        <x:v>0</x:v>
      </x:c>
    </x:row>
    <x:row r="34" ht="61.5" customHeight="1">
      <x:c r="A34" s="30" t="n">
        <x:f>IF(LARGE($U$30:$U$45,2)&lt;=0,"",2)</x:f>
        <x:v>2</x:v>
      </x:c>
      <x:c r="B34" s="30" t="str">
        <x:f>IFERROR(IF(LARGE($U$30:$U$45,2)&lt;=0,"",INDEX($N$30:$N$45,MATCH(LARGE($U$30:$U$45,2),$U$30:$U$45,0))),"")</x:f>
        <x:v>Différence peu convertie</x:v>
      </x:c>
      <x:c r="C34" s="30" t="str">
        <x:f>IFERROR(IF(LARGE($U$30:$U$45,2)&lt;=0,"",INDEX($P$30:$P$45,MATCH(LARGE($U$30:$U$45,2),$U$30:$U$45,0))),"")</x:f>
        <x:v>Modérée</x:v>
      </x:c>
      <x:c r="D34" s="30" t="str">
        <x:f>IFERROR(IF(LARGE($U$30:$U$45,2)&lt;=0,"",INDEX($Q$30:$Q$45,MATCH(LARGE($U$30:$U$45,2),$U$30:$U$45,0))),"")</x:f>
        <x:v>La différence est visible ou reconnue, mais sa transformation en ventes numériques mesurées n’est pas établie.</x:v>
      </x:c>
      <x:c r="E34" s="30" t="str">
        <x:f>IFERROR(IF(LARGE($U$30:$U$45,2)&lt;=0,"",INDEX($R$30:$R$45,MATCH(LARGE($U$30:$U$45,2),$U$30:$U$45,0))),"")</x:f>
        <x:v>La difficulté pourrait se situer dans la transformation de la différence en action commerciale.</x:v>
      </x:c>
      <x:c r="F34" s="30" t="str">
        <x:f>IFERROR(IF(LARGE($U$30:$U$45,2)&lt;=0,"",INDEX($S$30:$S$45,MATCH(LARGE($U$30:$U$45,2),$U$30:$U$45,0))),"")</x:f>
        <x:v>Quel appel à l’action permet aujourd’hui à un prospect convaincu de passer à l’étape suivante ?</x:v>
      </x:c>
      <x:c r="M34" s="30" t="inlineStr">
        <x:is>
          <x:t xml:space="preserve">RC05</x:t>
        </x:is>
      </x:c>
      <x:c r="N34" s="30" t="inlineStr">
        <x:is>
          <x:t xml:space="preserve">Dispersion des paiements et trésorerie</x:t>
        </x:is>
      </x:c>
      <x:c r="O34" s="30" t="n">
        <x:v>3</x:v>
      </x:c>
      <x:c r="P34" s="30" t="inlineStr">
        <x:is>
          <x:t xml:space="preserve">Élevée</x:t>
        </x:is>
      </x:c>
      <x:c r="Q34" s="30" t="inlineStr">
        <x:is>
          <x:t xml:space="preserve">Les paiements sont dispersés et la trésorerie est évaluée à partir des soldes ou au moment des dépenses.</x:t>
        </x:is>
      </x:c>
      <x:c r="R34" s="30" t="inlineStr">
        <x:is>
          <x:t xml:space="preserve">La fragmentation des encaissements pourrait empêcher une lecture fiable de la trésorerie.</x:t>
        </x:is>
      </x:c>
      <x:c r="S34" s="30" t="inlineStr">
        <x:is>
          <x:t xml:space="preserve">Comment obtenez-vous un montant unique et fiable avant de décider d’une dépense ?</x:t>
        </x:is>
      </x:c>
      <x:c r="T34" s="30" t="str">
        <x:f>IF(AND(OR(COUNTIF('Simulateur'!$D$10:$D$23,"Q6B")&gt;0,COUNTIF('Simulateur'!$D$10:$D$23,"Q6C")&gt;0,COUNTIF('Simulateur'!$D$10:$D$23,"Q6D")&gt;0),OR(COUNTIF('Simulateur'!$D$10:$D$23,"Q7C")&gt;0,COUNTIF('Simulateur'!$D$10:$D$23,"Q7D")&gt;0)),"Oui","")</x:f>
      </x:c>
      <x:c r="U34" s="30" t="n">
        <x:f>IF(T34="Oui",O34*1000-ROW(),0)</x:f>
        <x:v>0</x:v>
      </x:c>
    </x:row>
    <x:row r="35" ht="61.5" customHeight="1">
      <x:c r="A35" s="30" t="str">
        <x:f>IF(LARGE($U$30:$U$45,3)&lt;=0,"",3)</x:f>
      </x:c>
      <x:c r="B35" s="30" t="str">
        <x:f>IFERROR(IF(LARGE($U$30:$U$45,3)&lt;=0,"",INDEX($N$30:$N$45,MATCH(LARGE($U$30:$U$45,3),$U$30:$U$45,0))),"")</x:f>
      </x:c>
      <x:c r="C35" s="30" t="str">
        <x:f>IFERROR(IF(LARGE($U$30:$U$45,3)&lt;=0,"",INDEX($P$30:$P$45,MATCH(LARGE($U$30:$U$45,3),$U$30:$U$45,0))),"")</x:f>
      </x:c>
      <x:c r="D35" s="30" t="str">
        <x:f>IFERROR(IF(LARGE($U$30:$U$45,3)&lt;=0,"",INDEX($Q$30:$Q$45,MATCH(LARGE($U$30:$U$45,3),$U$30:$U$45,0))),"")</x:f>
      </x:c>
      <x:c r="E35" s="30" t="str">
        <x:f>IFERROR(IF(LARGE($U$30:$U$45,3)&lt;=0,"",INDEX($R$30:$R$45,MATCH(LARGE($U$30:$U$45,3),$U$30:$U$45,0))),"")</x:f>
      </x:c>
      <x:c r="F35" s="30" t="str">
        <x:f>IFERROR(IF(LARGE($U$30:$U$45,3)&lt;=0,"",INDEX($S$30:$S$45,MATCH(LARGE($U$30:$U$45,3),$U$30:$U$45,0))),"")</x:f>
      </x:c>
      <x:c r="M35" s="30" t="inlineStr">
        <x:is>
          <x:t xml:space="preserve">RC06</x:t>
        </x:is>
      </x:c>
      <x:c r="N35" s="30" t="inlineStr">
        <x:is>
          <x:t xml:space="preserve">Écarts impossibles à expliquer rapidement</x:t>
        </x:is>
      </x:c>
      <x:c r="O35" s="30" t="n">
        <x:v>3</x:v>
      </x:c>
      <x:c r="P35" s="30" t="inlineStr">
        <x:is>
          <x:t xml:space="preserve">Élevée</x:t>
        </x:is>
      </x:c>
      <x:c r="Q35" s="30" t="inlineStr">
        <x:is>
          <x:t xml:space="preserve">Le suivi des ventes est reconstitué ou informel et les écarts dépendent d’explications ou restent sans preuve.</x:t>
        </x:is>
      </x:c>
      <x:c r="R35" s="30" t="inlineStr">
        <x:is>
          <x:t xml:space="preserve">L’entreprise pourrait manquer des éléments nécessaires pour distinguer erreur, oubli et vente non déclarée.</x:t>
        </x:is>
      </x:c>
      <x:c r="S35" s="30" t="inlineStr">
        <x:is>
          <x:t xml:space="preserve">Pouvez-vous retracer une vente précise depuis la commande jusqu’au paiement reçu ?</x:t>
        </x:is>
      </x:c>
      <x:c r="T35" s="30" t="str">
        <x:f>IF(AND(OR(COUNTIF('Simulateur'!$D$10:$D$23,"Q4C")&gt;0,COUNTIF('Simulateur'!$D$10:$D$23,"Q4D")&gt;0),OR(COUNTIF('Simulateur'!$D$10:$D$23,"Q5C")&gt;0,COUNTIF('Simulateur'!$D$10:$D$23,"Q5D")&gt;0)),"Oui","")</x:f>
      </x:c>
      <x:c r="U35" s="30" t="n">
        <x:f>IF(T35="Oui",O35*1000-ROW(),0)</x:f>
        <x:v>0</x:v>
      </x:c>
    </x:row>
    <x:row r="36" ht="61.5" customHeight="1">
      <x:c r="A36" s="30" t="str">
        <x:f>IF(LARGE($U$30:$U$45,4)&lt;=0,"",4)</x:f>
      </x:c>
      <x:c r="B36" s="30" t="str">
        <x:f>IFERROR(IF(LARGE($U$30:$U$45,4)&lt;=0,"",INDEX($N$30:$N$45,MATCH(LARGE($U$30:$U$45,4),$U$30:$U$45,0))),"")</x:f>
      </x:c>
      <x:c r="C36" s="30" t="str">
        <x:f>IFERROR(IF(LARGE($U$30:$U$45,4)&lt;=0,"",INDEX($P$30:$P$45,MATCH(LARGE($U$30:$U$45,4),$U$30:$U$45,0))),"")</x:f>
      </x:c>
      <x:c r="D36" s="30" t="str">
        <x:f>IFERROR(IF(LARGE($U$30:$U$45,4)&lt;=0,"",INDEX($Q$30:$Q$45,MATCH(LARGE($U$30:$U$45,4),$U$30:$U$45,0))),"")</x:f>
      </x:c>
      <x:c r="E36" s="30" t="str">
        <x:f>IFERROR(IF(LARGE($U$30:$U$45,4)&lt;=0,"",INDEX($R$30:$R$45,MATCH(LARGE($U$30:$U$45,4),$U$30:$U$45,0))),"")</x:f>
      </x:c>
      <x:c r="F36" s="30" t="str">
        <x:f>IFERROR(IF(LARGE($U$30:$U$45,4)&lt;=0,"",INDEX($S$30:$S$45,MATCH(LARGE($U$30:$U$45,4),$U$30:$U$45,0))),"")</x:f>
      </x:c>
      <x:c r="M36" s="30" t="inlineStr">
        <x:is>
          <x:t xml:space="preserve">RC07</x:t>
        </x:is>
      </x:c>
      <x:c r="N36" s="30" t="inlineStr">
        <x:is>
          <x:t xml:space="preserve">Délégation insuffisamment traçable</x:t>
        </x:is>
      </x:c>
      <x:c r="O36" s="30" t="n">
        <x:v>3</x:v>
      </x:c>
      <x:c r="P36" s="30" t="inlineStr">
        <x:is>
          <x:t xml:space="preserve">Élevée</x:t>
        </x:is>
      </x:c>
      <x:c r="Q36" s="30" t="inlineStr">
        <x:is>
          <x:t xml:space="preserve">Des collaborateurs encaissent, mais le contrôle repose sur un support partagé, un point oral ou un montant global.</x:t>
        </x:is>
      </x:c>
      <x:c r="R36" s="30" t="inlineStr">
        <x:is>
          <x:t xml:space="preserve">Les responsabilités individuelles pourraient être difficiles à établir en cas d’écart.</x:t>
        </x:is>
      </x:c>
      <x:c r="S36" s="30" t="inlineStr">
        <x:is>
          <x:t xml:space="preserve">Comment attribuez-vous précisément un écart à une vente et à la personne concernée ?</x:t>
        </x:is>
      </x:c>
      <x:c r="T36" s="30" t="str">
        <x:f>IF(AND(OR(COUNTIF('Simulateur'!$D$10:$D$23,"Q9B")&gt;0,COUNTIF('Simulateur'!$D$10:$D$23,"Q9C")&gt;0),OR(COUNTIF('Simulateur'!$D$10:$D$23,"Q5C")&gt;0,COUNTIF('Simulateur'!$D$10:$D$23,"Q5D")&gt;0)),"Oui","")</x:f>
      </x:c>
      <x:c r="U36" s="30" t="n">
        <x:f>IF(T36="Oui",O36*1000-ROW(),0)</x:f>
        <x:v>0</x:v>
      </x:c>
    </x:row>
    <x:row r="37" ht="61.5" customHeight="1">
      <x:c r="A37" s="30" t="str">
        <x:f>IF(LARGE($U$30:$U$45,5)&lt;=0,"",5)</x:f>
      </x:c>
      <x:c r="B37" s="30" t="str">
        <x:f>IFERROR(IF(LARGE($U$30:$U$45,5)&lt;=0,"",INDEX($N$30:$N$45,MATCH(LARGE($U$30:$U$45,5),$U$30:$U$45,0))),"")</x:f>
      </x:c>
      <x:c r="C37" s="30" t="str">
        <x:f>IFERROR(IF(LARGE($U$30:$U$45,5)&lt;=0,"",INDEX($P$30:$P$45,MATCH(LARGE($U$30:$U$45,5),$U$30:$U$45,0))),"")</x:f>
      </x:c>
      <x:c r="D37" s="30" t="str">
        <x:f>IFERROR(IF(LARGE($U$30:$U$45,5)&lt;=0,"",INDEX($Q$30:$Q$45,MATCH(LARGE($U$30:$U$45,5),$U$30:$U$45,0))),"")</x:f>
      </x:c>
      <x:c r="E37" s="30" t="str">
        <x:f>IFERROR(IF(LARGE($U$30:$U$45,5)&lt;=0,"",INDEX($R$30:$R$45,MATCH(LARGE($U$30:$U$45,5),$U$30:$U$45,0))),"")</x:f>
      </x:c>
      <x:c r="F37" s="30" t="str">
        <x:f>IFERROR(IF(LARGE($U$30:$U$45,5)&lt;=0,"",INDEX($S$30:$S$45,MATCH(LARGE($U$30:$U$45,5),$U$30:$U$45,0))),"")</x:f>
      </x:c>
      <x:c r="M37" s="30" t="inlineStr">
        <x:is>
          <x:t xml:space="preserve">RC08</x:t>
        </x:is>
      </x:c>
      <x:c r="N37" s="30" t="inlineStr">
        <x:is>
          <x:t xml:space="preserve">Comptabilité dépendante des reconstitutions</x:t>
        </x:is>
      </x:c>
      <x:c r="O37" s="30" t="n">
        <x:v>3</x:v>
      </x:c>
      <x:c r="P37" s="30" t="inlineStr">
        <x:is>
          <x:t xml:space="preserve">Élevée</x:t>
        </x:is>
      </x:c>
      <x:c r="Q37" s="30" t="inlineStr">
        <x:is>
          <x:t xml:space="preserve">Les ventes et opérations doivent être rassemblées ou reconstituées avant la comptabilité.</x:t>
        </x:is>
      </x:c>
      <x:c r="R37" s="30" t="inlineStr">
        <x:is>
          <x:t xml:space="preserve">La préparation comptable pourrait consommer beaucoup de temps et laisser des opérations mal documentées.</x:t>
        </x:is>
      </x:c>
      <x:c r="S37" s="30" t="inlineStr">
        <x:is>
          <x:t xml:space="preserve">Quelles informations vous manquent le plus souvent au moment de préparer la comptabilité ?</x:t>
        </x:is>
      </x:c>
      <x:c r="T37" s="30" t="str">
        <x:f>IF(AND(OR(COUNTIF('Simulateur'!$D$10:$D$23,"Q8C")&gt;0,COUNTIF('Simulateur'!$D$10:$D$23,"Q8D")&gt;0),OR(COUNTIF('Simulateur'!$D$10:$D$23,"Q4C")&gt;0,COUNTIF('Simulateur'!$D$10:$D$23,"Q4D")&gt;0)),"Oui","")</x:f>
      </x:c>
      <x:c r="U37" s="30" t="n">
        <x:f>IF(T37="Oui",O37*1000-ROW(),0)</x:f>
        <x:v>0</x:v>
      </x:c>
    </x:row>
    <x:row r="38" ht="61.5" customHeight="1">
      <x:c r="A38" s="31" t="str">
        <x:f>IF(LARGE($U$30:$U$45,6)&lt;=0,"",6)</x:f>
      </x:c>
      <x:c r="B38" s="31" t="str">
        <x:f>IFERROR(IF(LARGE($U$30:$U$45,6)&lt;=0,"",INDEX($N$30:$N$45,MATCH(LARGE($U$30:$U$45,6),$U$30:$U$45,0))),"")</x:f>
      </x:c>
      <x:c r="C38" s="31" t="str">
        <x:f>IFERROR(IF(LARGE($U$30:$U$45,6)&lt;=0,"",INDEX($P$30:$P$45,MATCH(LARGE($U$30:$U$45,6),$U$30:$U$45,0))),"")</x:f>
      </x:c>
      <x:c r="D38" s="31" t="str">
        <x:f>IFERROR(IF(LARGE($U$30:$U$45,6)&lt;=0,"",INDEX($Q$30:$Q$45,MATCH(LARGE($U$30:$U$45,6),$U$30:$U$45,0))),"")</x:f>
      </x:c>
      <x:c r="E38" s="31" t="str">
        <x:f>IFERROR(IF(LARGE($U$30:$U$45,6)&lt;=0,"",INDEX($R$30:$R$45,MATCH(LARGE($U$30:$U$45,6),$U$30:$U$45,0))),"")</x:f>
      </x:c>
      <x:c r="F38" s="31" t="str">
        <x:f>IFERROR(IF(LARGE($U$30:$U$45,6)&lt;=0,"",INDEX($S$30:$S$45,MATCH(LARGE($U$30:$U$45,6),$U$30:$U$45,0))),"")</x:f>
      </x:c>
      <x:c r="M38" s="30" t="inlineStr">
        <x:is>
          <x:t xml:space="preserve">RC09</x:t>
        </x:is>
      </x:c>
      <x:c r="N38" s="30" t="inlineStr">
        <x:is>
          <x:t xml:space="preserve">Présence irrégulière sans conversion</x:t>
        </x:is>
      </x:c>
      <x:c r="O38" s="30" t="n">
        <x:v>2</x:v>
      </x:c>
      <x:c r="P38" s="30" t="inlineStr">
        <x:is>
          <x:t xml:space="preserve">Modérée</x:t>
        </x:is>
      </x:c>
      <x:c r="Q38" s="30" t="inlineStr">
        <x:is>
          <x:t xml:space="preserve">La présence numérique est faible ou irrégulière et produit peu de résultats commerciaux identifiables.</x:t>
        </x:is>
      </x:c>
      <x:c r="R38" s="30" t="inlineStr">
        <x:is>
          <x:t xml:space="preserve">Le problème pourrait combiner manque de régularité, absence de parcours et faible mesure.</x:t>
        </x:is>
      </x:c>
      <x:c r="S38" s="30" t="inlineStr">
        <x:is>
          <x:t xml:space="preserve">Quel résultat précis attendez-vous de votre présence numérique aujourd’hui ?</x:t>
        </x:is>
      </x:c>
      <x:c r="T38" s="30" t="str">
        <x:f>IF(AND(OR(COUNTIF('Simulateur'!$D$40:$D$46,"R5A")&gt;0,COUNTIF('Simulateur'!$D$40:$D$46,"R5B")&gt;0),OR(COUNTIF('Simulateur'!$D$40:$D$46,"R6A")&gt;0,COUNTIF('Simulateur'!$D$40:$D$46,"R6B")&gt;0)),"Oui","")</x:f>
      </x:c>
      <x:c r="U38" s="30" t="n">
        <x:f>IF(T38="Oui",O38*1000-ROW(),0)</x:f>
        <x:v>0</x:v>
      </x:c>
    </x:row>
    <x:row r="39">
      <x:c r="M39" s="30" t="inlineStr">
        <x:is>
          <x:t xml:space="preserve">RC10</x:t>
        </x:is>
      </x:c>
      <x:c r="N39" s="30" t="inlineStr">
        <x:is>
          <x:t xml:space="preserve">Faible notoriété et faible présence</x:t>
        </x:is>
      </x:c>
      <x:c r="O39" s="30" t="n">
        <x:v>2</x:v>
      </x:c>
      <x:c r="P39" s="30" t="inlineStr">
        <x:is>
          <x:t xml:space="preserve">Modérée</x:t>
        </x:is>
      </x:c>
      <x:c r="Q39" s="30" t="inlineStr">
        <x:is>
          <x:t xml:space="preserve">La notoriété reste limitée et la présence numérique est faible ou irrégulière.</x:t>
        </x:is>
      </x:c>
      <x:c r="R39" s="30" t="inlineStr">
        <x:is>
          <x:t xml:space="preserve">La faible exposition de l’entreprise pourrait contribuer directement à son rayonnement limité.</x:t>
        </x:is>
      </x:c>
      <x:c r="S39" s="30" t="inlineStr">
        <x:is>
          <x:t xml:space="preserve">Comment de nouveaux prospects qui ne vous connaissent pas découvrent-ils actuellement l’entreprise ?</x:t>
        </x:is>
      </x:c>
      <x:c r="T39" s="30" t="str">
        <x:f>IF(AND(OR(COUNTIF('Simulateur'!$D$40:$D$46,"R1A")&gt;0,COUNTIF('Simulateur'!$D$40:$D$46,"R1B")&gt;0),OR(COUNTIF('Simulateur'!$D$40:$D$46,"R5A")&gt;0,COUNTIF('Simulateur'!$D$40:$D$46,"R5B")&gt;0)),"Oui","")</x:f>
      </x:c>
      <x:c r="U39" s="30" t="n">
        <x:f>IF(T39="Oui",O39*1000-ROW(),0)</x:f>
        <x:v>0</x:v>
      </x:c>
    </x:row>
    <x:row r="40" ht="25.5" customHeight="1">
      <x:c r="A40" s="10" t="inlineStr">
        <x:is>
          <x:t xml:space="preserve">Mode d’emploi commercial</x:t>
        </x:is>
      </x:c>
      <x:c r="M40" s="30" t="inlineStr">
        <x:is>
          <x:t xml:space="preserve">RC11</x:t>
        </x:is>
      </x:c>
      <x:c r="N40" s="30" t="inlineStr">
        <x:is>
          <x:t xml:space="preserve">Lecture du marché et différence peu claires</x:t>
        </x:is>
      </x:c>
      <x:c r="O40" s="30" t="n">
        <x:v>3</x:v>
      </x:c>
      <x:c r="P40" s="30" t="inlineStr">
        <x:is>
          <x:t xml:space="preserve">Élevée</x:t>
        </x:is>
      </x:c>
      <x:c r="Q40" s="30" t="inlineStr">
        <x:is>
          <x:t xml:space="preserve">L’entreprise comprend peu les choix en faveur des concurrents et sa différence reste difficile à percevoir sans explication.</x:t>
        </x:is>
      </x:c>
      <x:c r="R40" s="30" t="inlineStr">
        <x:is>
          <x:t xml:space="preserve">La proposition de valeur pourrait être construite sans suffisamment de retours du marché.</x:t>
        </x:is>
      </x:c>
      <x:c r="S40" s="30" t="inlineStr">
        <x:is>
          <x:t xml:space="preserve">Quelles raisons vos prospects donnent-ils lorsqu’ils choisissent une autre offre ?</x:t>
        </x:is>
      </x:c>
      <x:c r="T40" s="30" t="str">
        <x:f>IF(AND(OR(COUNTIF('Simulateur'!$D$40:$D$46,"R2A")&gt;0,COUNTIF('Simulateur'!$D$40:$D$46,"R2B")&gt;0),OR(COUNTIF('Simulateur'!$D$40:$D$46,"R4A")&gt;0,COUNTIF('Simulateur'!$D$40:$D$46,"R4B")&gt;0)),"Oui","")</x:f>
      </x:c>
      <x:c r="U40" s="30" t="n">
        <x:f>IF(T40="Oui",O40*1000-ROW(),0)</x:f>
        <x:v>0</x:v>
      </x:c>
    </x:row>
    <x:row r="41" ht="28.5" customHeight="1">
      <x:c r="A41" s="29" t="inlineStr">
        <x:is>
          <x:t xml:space="preserve">1. Partir du constat factuel et reprendre la réponse exacte du prospect.</x:t>
        </x:is>
      </x:c>
      <x:c r="B41" s="121" t="n"/>
      <x:c r="C41" s="121" t="n"/>
      <x:c r="D41" s="121" t="n"/>
      <x:c r="E41" s="121" t="n"/>
      <x:c r="F41" s="121" t="n"/>
      <x:c r="M41" s="30" t="inlineStr">
        <x:is>
          <x:t xml:space="preserve">RC12</x:t>
        </x:is>
      </x:c>
      <x:c r="N41" s="30" t="inlineStr">
        <x:is>
          <x:t xml:space="preserve">Différence peu convertie</x:t>
        </x:is>
      </x:c>
      <x:c r="O41" s="30" t="n">
        <x:v>2</x:v>
      </x:c>
      <x:c r="P41" s="30" t="inlineStr">
        <x:is>
          <x:t xml:space="preserve">Modérée</x:t>
        </x:is>
      </x:c>
      <x:c r="Q41" s="30" t="inlineStr">
        <x:is>
          <x:t xml:space="preserve">La différence est visible ou reconnue, mais sa transformation en ventes numériques mesurées n’est pas établie.</x:t>
        </x:is>
      </x:c>
      <x:c r="R41" s="30" t="inlineStr">
        <x:is>
          <x:t xml:space="preserve">La difficulté pourrait se situer dans la transformation de la différence en action commerciale.</x:t>
        </x:is>
      </x:c>
      <x:c r="S41" s="30" t="inlineStr">
        <x:is>
          <x:t xml:space="preserve">Quel appel à l’action permet aujourd’hui à un prospect convaincu de passer à l’étape suivante ?</x:t>
        </x:is>
      </x:c>
      <x:c r="T41" s="30" t="str">
        <x:f>IF(AND(OR(COUNTIF('Simulateur'!$D$40:$D$46,"R4C")&gt;0,COUNTIF('Simulateur'!$D$40:$D$46,"R4D")&gt;0),OR(COUNTIF('Simulateur'!$D$40:$D$46,"R6A")&gt;0,COUNTIF('Simulateur'!$D$40:$D$46,"R6B")&gt;0,COUNTIF('Simulateur'!$D$40:$D$46,"R6C")&gt;0)),"Oui","")</x:f>
        <x:v>Oui</x:v>
      </x:c>
      <x:c r="U41" s="30" t="n">
        <x:f>IF(T41="Oui",O41*1000-ROW(),0)</x:f>
        <x:v>1959</x:v>
      </x:c>
    </x:row>
    <x:row r="42" ht="28.5" customHeight="1">
      <x:c r="A42" s="30" t="inlineStr">
        <x:is>
          <x:t xml:space="preserve">2. Utiliser la difficulté comme angle d’exploration, en demandant un exemple récent et son impact.</x:t>
        </x:is>
      </x:c>
      <x:c r="B42" s="122" t="n"/>
      <x:c r="C42" s="122" t="n"/>
      <x:c r="D42" s="122" t="n"/>
      <x:c r="E42" s="122" t="n"/>
      <x:c r="F42" s="122" t="n"/>
      <x:c r="M42" s="30" t="inlineStr">
        <x:is>
          <x:t xml:space="preserve">RC13</x:t>
        </x:is>
      </x:c>
      <x:c r="N42" s="30" t="inlineStr">
        <x:is>
          <x:t xml:space="preserve">Besoin de visibilité de trésorerie confirmé</x:t>
        </x:is>
      </x:c>
      <x:c r="O42" s="30" t="n">
        <x:v>3</x:v>
      </x:c>
      <x:c r="P42" s="30" t="inlineStr">
        <x:is>
          <x:t xml:space="preserve">Élevée</x:t>
        </x:is>
      </x:c>
      <x:c r="Q42" s="30" t="inlineStr">
        <x:is>
          <x:t xml:space="preserve">Le manque de visibilité sur la trésorerie apparaît dans la pratique et dans le progrès prioritaire déclaré.</x:t>
        </x:is>
      </x:c>
      <x:c r="R42" s="30" t="inlineStr">
        <x:is>
          <x:t xml:space="preserve">Le besoin est cohérent et mérite d’être quantifié pendant l’échange.</x:t>
        </x:is>
      </x:c>
      <x:c r="S42" s="30" t="inlineStr">
        <x:is>
          <x:t xml:space="preserve">Quelles décisions sont aujourd’hui retardées par ce manque de visibilité ?</x:t>
        </x:is>
      </x:c>
      <x:c r="T42" s="30" t="str">
        <x:f>IF(AND(OR(COUNTIF('Simulateur'!$D$10:$D$23,"Q7C")&gt;0,COUNTIF('Simulateur'!$D$10:$D$23,"Q7D")&gt;0),COUNTIF('Simulateur'!$D$10:$D$23,"Q14A")&gt;0),"Oui","")</x:f>
      </x:c>
      <x:c r="U42" s="30" t="n">
        <x:f>IF(T42="Oui",O42*1000-ROW(),0)</x:f>
        <x:v>0</x:v>
      </x:c>
    </x:row>
    <x:row r="43" ht="28.5" customHeight="1">
      <x:c r="A43" s="31" t="inlineStr">
        <x:is>
          <x:t xml:space="preserve">3. Formuler les hypothèses sous forme de questions ; ne conclure ni sur le besoin ni sur une offre avant l’échange.</x:t>
        </x:is>
      </x:c>
      <x:c r="B43" s="123" t="n"/>
      <x:c r="C43" s="123" t="n"/>
      <x:c r="D43" s="123" t="n"/>
      <x:c r="E43" s="123" t="n"/>
      <x:c r="F43" s="123" t="n"/>
      <x:c r="M43" s="30" t="inlineStr">
        <x:is>
          <x:t xml:space="preserve">RC14</x:t>
        </x:is>
      </x:c>
      <x:c r="N43" s="30" t="inlineStr">
        <x:is>
          <x:t xml:space="preserve">Besoin de traçabilité confirmé</x:t>
        </x:is>
      </x:c>
      <x:c r="O43" s="30" t="n">
        <x:v>3</x:v>
      </x:c>
      <x:c r="P43" s="30" t="inlineStr">
        <x:is>
          <x:t xml:space="preserve">Élevée</x:t>
        </x:is>
      </x:c>
      <x:c r="Q43" s="30" t="inlineStr">
        <x:is>
          <x:t xml:space="preserve">La difficulté à expliquer ou retrouver les mouvements est cohérente avec le besoin prioritaire déclaré.</x:t>
        </x:is>
      </x:c>
      <x:c r="R43" s="30" t="inlineStr">
        <x:is>
          <x:t xml:space="preserve">La traçabilité constitue probablement un enjeu central du prospect.</x:t>
        </x:is>
      </x:c>
      <x:c r="S43" s="30" t="inlineStr">
        <x:is>
          <x:t xml:space="preserve">Quels mouvements de fonds vous préoccupent le plus aujourd’hui ?</x:t>
        </x:is>
      </x:c>
      <x:c r="T43" s="30" t="str">
        <x:f>IF(AND(OR(COUNTIF('Simulateur'!$D$10:$D$23,"Q5C")&gt;0,COUNTIF('Simulateur'!$D$10:$D$23,"Q5D")&gt;0,COUNTIF('Simulateur'!$D$10:$D$23,"Q12C")&gt;0,COUNTIF('Simulateur'!$D$10:$D$23,"Q12D")&gt;0),COUNTIF('Simulateur'!$D$10:$D$23,"Q14B")&gt;0),"Oui","")</x:f>
      </x:c>
      <x:c r="U43" s="30" t="n">
        <x:f>IF(T43="Oui",O43*1000-ROW(),0)</x:f>
        <x:v>0</x:v>
      </x:c>
    </x:row>
    <x:row r="44">
      <x:c r="M44" s="30" t="inlineStr">
        <x:is>
          <x:t xml:space="preserve">RC15</x:t>
        </x:is>
      </x:c>
      <x:c r="N44" s="30" t="inlineStr">
        <x:is>
          <x:t xml:space="preserve">Besoin d’encaissement omnicanal confirmé</x:t>
        </x:is>
      </x:c>
      <x:c r="O44" s="30" t="n">
        <x:v>2</x:v>
      </x:c>
      <x:c r="P44" s="30" t="inlineStr">
        <x:is>
          <x:t xml:space="preserve">Modérée</x:t>
        </x:is>
      </x:c>
      <x:c r="Q44" s="30" t="inlineStr">
        <x:is>
          <x:t xml:space="preserve">Les limites actuelles d’encaissement concordent avec la volonté d’encaisser sur tous les canaux.</x:t>
        </x:is>
      </x:c>
      <x:c r="R44" s="30" t="inlineStr">
        <x:is>
          <x:t xml:space="preserve">Le besoin d’élargir ou unifier les parcours d’encaissement paraît cohérent.</x:t>
        </x:is>
      </x:c>
      <x:c r="S44" s="30" t="inlineStr">
        <x:is>
          <x:t xml:space="preserve">Sur quel canal perdez-vous actuellement le plus de ventes au moment du paiement ?</x:t>
        </x:is>
      </x:c>
      <x:c r="T44" s="30" t="str">
        <x:f>IF(AND(OR(COUNTIF('Simulateur'!$D$10:$D$23,"Q10C")&gt;0,COUNTIF('Simulateur'!$D$10:$D$23,"Q10D")&gt;0,COUNTIF('Simulateur'!$D$10:$D$23,"Q6B")&gt;0,COUNTIF('Simulateur'!$D$10:$D$23,"Q6C")&gt;0,COUNTIF('Simulateur'!$D$10:$D$23,"Q6D")&gt;0),COUNTIF('Simulateur'!$D$10:$D$23,"Q14C")&gt;0),"Oui","")</x:f>
      </x:c>
      <x:c r="U44" s="30" t="n">
        <x:f>IF(T44="Oui",O44*1000-ROW(),0)</x:f>
        <x:v>0</x:v>
      </x:c>
    </x:row>
    <x:row r="45">
      <x:c r="M45" s="31" t="inlineStr">
        <x:is>
          <x:t xml:space="preserve">RC16</x:t>
        </x:is>
      </x:c>
      <x:c r="N45" s="31" t="inlineStr">
        <x:is>
          <x:t xml:space="preserve">Besoin de contrôle dans la délégation confirmé</x:t>
        </x:is>
      </x:c>
      <x:c r="O45" s="31" t="n">
        <x:v>3</x:v>
      </x:c>
      <x:c r="P45" s="31" t="inlineStr">
        <x:is>
          <x:t xml:space="preserve">Élevée</x:t>
        </x:is>
      </x:c>
      <x:c r="Q45" s="31" t="inlineStr">
        <x:is>
          <x:t xml:space="preserve">La manière actuelle de suivre les collaborateurs concorde avec le besoin de déléguer sans perdre le contrôle.</x:t>
        </x:is>
      </x:c>
      <x:c r="R45" s="31" t="inlineStr">
        <x:is>
          <x:t xml:space="preserve">La sécurisation de la délégation semble être un enjeu concret.</x:t>
        </x:is>
      </x:c>
      <x:c r="S45" s="31" t="inlineStr">
        <x:is>
          <x:t xml:space="preserve">Quel contrôle aimeriez-vous conserver lorsque d’autres personnes encaissent ?</x:t>
        </x:is>
      </x:c>
      <x:c r="T45" s="31" t="str">
        <x:f>IF(AND(OR(COUNTIF('Simulateur'!$D$10:$D$23,"Q9B")&gt;0,COUNTIF('Simulateur'!$D$10:$D$23,"Q9C")&gt;0),COUNTIF('Simulateur'!$D$10:$D$23,"Q14D")&gt;0),"Oui","")</x:f>
      </x:c>
      <x:c r="U45" s="31" t="n">
        <x:f>IF(T45="Oui",O45*1000-ROW(),0)</x:f>
        <x:v>0</x:v>
      </x:c>
    </x:row>
  </x:sheetData>
  <x:mergeCells>
    <x:mergeCell ref="A41:F41"/>
    <x:mergeCell ref="C28:F28"/>
    <x:mergeCell ref="A42:F42"/>
    <x:mergeCell ref="A25:B25"/>
    <x:mergeCell ref="A8:F8"/>
    <x:mergeCell ref="A17:F17"/>
    <x:mergeCell ref="A27:B27"/>
    <x:mergeCell ref="A43:F43"/>
    <x:mergeCell ref="A26:B26"/>
    <x:mergeCell ref="C26:F26"/>
    <x:mergeCell ref="A31:F31"/>
    <x:mergeCell ref="A40:F40"/>
    <x:mergeCell ref="C25:F25"/>
    <x:mergeCell ref="A30:F30"/>
    <x:mergeCell ref="A24:F24"/>
    <x:mergeCell ref="A2:F3"/>
    <x:mergeCell ref="A1:F1"/>
    <x:mergeCell ref="A28:B28"/>
    <x:mergeCell ref="C27:F27"/>
  </x:mergeCells>
  <x:conditionalFormatting sqref="C10:C15">
    <x:cfRule type="containsText" dxfId="0" priority="1" operator="containsText" text="Élevée"/>
    <x:cfRule type="containsText" dxfId="1" priority="2" operator="containsText" text="Modérée"/>
    <x:cfRule type="containsText" dxfId="2" priority="3" operator="containsText" text="Légère"/>
  </x:conditionalFormatting>
  <x:conditionalFormatting sqref="C33:C38">
    <x:cfRule type="containsText" dxfId="0" priority="4" operator="containsText" text="Élevée"/>
    <x:cfRule type="containsText" dxfId="1" priority="5" operator="containsText" text="Modéré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.440000057220459" customWidth="1"/>
    <x:col min="2" max="2" width="4.670000076293945" customWidth="1"/>
    <x:col min="3" max="3" width="30.559999465942383" customWidth="1"/>
    <x:col min="4" max="4" width="35.560001373291016" customWidth="1"/>
    <x:col min="5" max="5" width="8" customWidth="1"/>
    <x:col min="6" max="6" width="8" customWidth="1"/>
    <x:col min="7" max="7" width="8" customWidth="1"/>
    <x:col min="8" max="8" width="8" customWidth="1"/>
    <x:col min="9" max="9" width="18.329999923706055" customWidth="1"/>
    <x:col min="10" max="10" width="8.220000267028809" customWidth="1"/>
    <x:col min="11" max="11" width="8.220000267028809" customWidth="1"/>
    <x:col min="12" max="12" width="8.220000267028809" customWidth="1"/>
    <x:col min="13" max="13" width="16.110000610351562" customWidth="1"/>
    <x:col min="14" max="14" width="16.110000610351562" customWidth="1"/>
    <x:col min="15" max="15" width="16.110000610351562" customWidth="1"/>
    <x:col min="16" max="16" width="16.110000610351562" customWidth="1"/>
    <x:col min="17" max="17" width="30" customWidth="1"/>
  </x:cols>
  <x:sheetData>
    <x:row r="1" ht="31.5" customHeight="1">
      <x:c r="A1" s="3" t="inlineStr">
        <x:is>
          <x:t xml:space="preserve">Parcours Profil du dirigeant — matrice option par option</x:t>
        </x:is>
      </x:c>
    </x:row>
    <x:row r="2">
      <x:c r="A2" s="7" t="inlineStr">
        <x:is>
          <x:t xml:space="preserve">Lecture publique équilibrée sur 8 dimensions • Lecture interne FeexPay sur 8 indicateurs opérationnels • Les tags n’entrent pas dans le score de pilotage.</x:t>
        </x:is>
      </x:c>
    </x:row>
    <x:row r="3"/>
    <x:row r="4" ht="36" customHeight="1">
      <x:c r="A4" s="19" t="inlineStr">
        <x:is>
          <x:t xml:space="preserve">Code</x:t>
        </x:is>
      </x:c>
      <x:c r="B4" s="20" t="inlineStr">
        <x:is>
          <x:t xml:space="preserve">N°</x:t>
        </x:is>
      </x:c>
      <x:c r="C4" s="20" t="inlineStr">
        <x:is>
          <x:t xml:space="preserve">Question validée</x:t>
        </x:is>
      </x:c>
      <x:c r="D4" s="20" t="inlineStr">
        <x:is>
          <x:t xml:space="preserve">Option validée</x:t>
        </x:is>
      </x:c>
      <x:c r="E4" s="20" t="inlineStr">
        <x:is>
          <x:t xml:space="preserve">Dim. +2</x:t>
        </x:is>
      </x:c>
      <x:c r="F4" s="20" t="inlineStr">
        <x:is>
          <x:t xml:space="preserve">Pts</x:t>
        </x:is>
      </x:c>
      <x:c r="G4" s="20" t="inlineStr">
        <x:is>
          <x:t xml:space="preserve">Dim. +1</x:t>
        </x:is>
      </x:c>
      <x:c r="H4" s="20" t="inlineStr">
        <x:is>
          <x:t xml:space="preserve">Pts</x:t>
        </x:is>
      </x:c>
      <x:c r="I4" s="20" t="inlineStr">
        <x:is>
          <x:t xml:space="preserve">Dimension de qualification</x:t>
        </x:is>
      </x:c>
      <x:c r="J4" s="20" t="inlineStr">
        <x:is>
          <x:t xml:space="preserve">Points /3</x:t>
        </x:is>
      </x:c>
      <x:c r="K4" s="20" t="inlineStr">
        <x:is>
          <x:t xml:space="preserve">Poids</x:t>
        </x:is>
      </x:c>
      <x:c r="L4" s="20" t="inlineStr">
        <x:is>
          <x:t xml:space="preserve">Applicable</x:t>
        </x:is>
      </x:c>
      <x:c r="M4" s="20" t="inlineStr">
        <x:is>
          <x:t xml:space="preserve">Tag 1</x:t>
        </x:is>
      </x:c>
      <x:c r="N4" s="20" t="inlineStr">
        <x:is>
          <x:t xml:space="preserve">Valeur 1</x:t>
        </x:is>
      </x:c>
      <x:c r="O4" s="20" t="inlineStr">
        <x:is>
          <x:t xml:space="preserve">Tag 2</x:t>
        </x:is>
      </x:c>
      <x:c r="P4" s="20" t="inlineStr">
        <x:is>
          <x:t xml:space="preserve">Valeur 2</x:t>
        </x:is>
      </x:c>
      <x:c r="Q4" s="21" t="inlineStr">
        <x:is>
          <x:t xml:space="preserve">Justification</x:t>
        </x:is>
      </x:c>
    </x:row>
    <x:row r="5" ht="36" customHeight="1">
      <x:c r="A5" s="29" t="inlineStr">
        <x:is>
          <x:t xml:space="preserve">Q1A</x:t>
        </x:is>
      </x:c>
      <x:c r="B5" s="29" t="n">
        <x:v>1</x:v>
      </x:c>
      <x:c r="C5" s="29" t="inlineStr">
        <x:is>
          <x:t xml:space="preserve">Une nouvelle opportunité se présente. Qu’est-ce qui vous pousse le plus à avancer ?</x:t>
        </x:is>
      </x:c>
      <x:c r="D5" s="29" t="inlineStr">
        <x:is>
          <x:t xml:space="preserve">Je me projette d’abord sur ce qu’elle pourrait apporter à mon entreprise.</x:t>
        </x:is>
      </x:c>
      <x:c r="E5" s="29" t="inlineStr">
        <x:is>
          <x:t xml:space="preserve">VIS</x:t>
        </x:is>
      </x:c>
      <x:c r="F5" s="44" t="n">
        <x:v>2</x:v>
      </x:c>
      <x:c r="G5" s="44" t="inlineStr">
        <x:is>
          <x:t xml:space="preserve">AUD</x:t>
        </x:is>
      </x:c>
      <x:c r="H5" s="44" t="n">
        <x:v>1</x:v>
      </x:c>
      <x:c r="I5" s="29" t="str"/>
      <x:c r="J5" s="134" t="n"/>
      <x:c r="K5" s="134" t="n">
        <x:v>0</x:v>
      </x:c>
      <x:c r="L5" s="44" t="n">
        <x:v>0</x:v>
      </x:c>
      <x:c r="M5" s="29" t="inlineStr">
        <x:is>
          <x:t xml:space="preserve">Moteur de décision</x:t>
        </x:is>
      </x:c>
      <x:c r="N5" s="29" t="inlineStr">
        <x:is>
          <x:t xml:space="preserve">Projection</x:t>
        </x:is>
      </x:c>
      <x:c r="O5" s="29" t="str"/>
      <x:c r="P5" s="29" t="str"/>
      <x:c r="Q5" s="29" t="inlineStr">
        <x:is>
          <x:t xml:space="preserve">Lecture publique : VIS en dimension principale et AUD en nuance. Lecture interne : tag de qualification uniquement.</x:t>
        </x:is>
      </x:c>
    </x:row>
    <x:row r="6" ht="36" customHeight="1">
      <x:c r="A6" s="30" t="inlineStr">
        <x:is>
          <x:t xml:space="preserve">Q1B</x:t>
        </x:is>
      </x:c>
      <x:c r="B6" s="30" t="n">
        <x:v>1</x:v>
      </x:c>
      <x:c r="C6" s="30" t="inlineStr">
        <x:is>
          <x:t xml:space="preserve">Une nouvelle opportunité se présente. Qu’est-ce qui vous pousse le plus à avancer ?</x:t>
        </x:is>
      </x:c>
      <x:c r="D6" s="30" t="inlineStr">
        <x:is>
          <x:t xml:space="preserve">Je vérifie les chiffres avant de décider si elle mérite mon investissement.</x:t>
        </x:is>
      </x:c>
      <x:c r="E6" s="30" t="inlineStr">
        <x:is>
          <x:t xml:space="preserve">STR</x:t>
        </x:is>
      </x:c>
      <x:c r="F6" s="45" t="n">
        <x:v>2</x:v>
      </x:c>
      <x:c r="G6" s="45" t="inlineStr">
        <x:is>
          <x:t xml:space="preserve">AUD</x:t>
        </x:is>
      </x:c>
      <x:c r="H6" s="45" t="n">
        <x:v>1</x:v>
      </x:c>
      <x:c r="I6" s="30" t="str"/>
      <x:c r="J6" s="135" t="n"/>
      <x:c r="K6" s="135" t="n">
        <x:v>0</x:v>
      </x:c>
      <x:c r="L6" s="45" t="n">
        <x:v>0</x:v>
      </x:c>
      <x:c r="M6" s="30" t="inlineStr">
        <x:is>
          <x:t xml:space="preserve">Moteur de décision</x:t>
        </x:is>
      </x:c>
      <x:c r="N6" s="30" t="inlineStr">
        <x:is>
          <x:t xml:space="preserve">Chiffres</x:t>
        </x:is>
      </x:c>
      <x:c r="O6" s="30" t="str"/>
      <x:c r="P6" s="30" t="str"/>
      <x:c r="Q6" s="30" t="inlineStr">
        <x:is>
          <x:t xml:space="preserve">Lecture publique : STR en dimension principale et AUD en nuance. Lecture interne : tag de qualification uniquement.</x:t>
        </x:is>
      </x:c>
    </x:row>
    <x:row r="7" ht="36" customHeight="1">
      <x:c r="A7" s="30" t="inlineStr">
        <x:is>
          <x:t xml:space="preserve">Q1C</x:t>
        </x:is>
      </x:c>
      <x:c r="B7" s="30" t="n">
        <x:v>1</x:v>
      </x:c>
      <x:c r="C7" s="30" t="inlineStr">
        <x:is>
          <x:t xml:space="preserve">Une nouvelle opportunité se présente. Qu’est-ce qui vous pousse le plus à avancer ?</x:t>
        </x:is>
      </x:c>
      <x:c r="D7" s="30" t="inlineStr">
        <x:is>
          <x:t xml:space="preserve">J’observe si elle répond à une demande réelle de mes clients.</x:t>
        </x:is>
      </x:c>
      <x:c r="E7" s="30" t="inlineStr">
        <x:is>
          <x:t xml:space="preserve">INF</x:t>
        </x:is>
      </x:c>
      <x:c r="F7" s="45" t="n">
        <x:v>2</x:v>
      </x:c>
      <x:c r="G7" s="45" t="inlineStr">
        <x:is>
          <x:t xml:space="preserve">ADA</x:t>
        </x:is>
      </x:c>
      <x:c r="H7" s="45" t="n">
        <x:v>1</x:v>
      </x:c>
      <x:c r="I7" s="30" t="str"/>
      <x:c r="J7" s="135" t="n"/>
      <x:c r="K7" s="135" t="n">
        <x:v>0</x:v>
      </x:c>
      <x:c r="L7" s="45" t="n">
        <x:v>0</x:v>
      </x:c>
      <x:c r="M7" s="30" t="inlineStr">
        <x:is>
          <x:t xml:space="preserve">Moteur de décision</x:t>
        </x:is>
      </x:c>
      <x:c r="N7" s="30" t="inlineStr">
        <x:is>
          <x:t xml:space="preserve">Demande client</x:t>
        </x:is>
      </x:c>
      <x:c r="O7" s="30" t="str"/>
      <x:c r="P7" s="30" t="str"/>
      <x:c r="Q7" s="30" t="inlineStr">
        <x:is>
          <x:t xml:space="preserve">Lecture publique : INF en dimension principale et ADA en nuance. Lecture interne : tag de qualification uniquement.</x:t>
        </x:is>
      </x:c>
    </x:row>
    <x:row r="8" ht="36" customHeight="1">
      <x:c r="A8" s="30" t="inlineStr">
        <x:is>
          <x:t xml:space="preserve">Q1D</x:t>
        </x:is>
      </x:c>
      <x:c r="B8" s="30" t="n">
        <x:v>1</x:v>
      </x:c>
      <x:c r="C8" s="30" t="inlineStr">
        <x:is>
          <x:t xml:space="preserve">Une nouvelle opportunité se présente. Qu’est-ce qui vous pousse le plus à avancer ?</x:t>
        </x:is>
      </x:c>
      <x:c r="D8" s="30" t="inlineStr">
        <x:is>
          <x:t xml:space="preserve">Je préfère la tester à petite échelle avant de m’engager davantage.</x:t>
        </x:is>
      </x:c>
      <x:c r="E8" s="30" t="inlineStr">
        <x:is>
          <x:t xml:space="preserve">AUD</x:t>
        </x:is>
      </x:c>
      <x:c r="F8" s="45" t="n">
        <x:v>2</x:v>
      </x:c>
      <x:c r="G8" s="45" t="inlineStr">
        <x:is>
          <x:t xml:space="preserve">VIS</x:t>
        </x:is>
      </x:c>
      <x:c r="H8" s="45" t="n">
        <x:v>1</x:v>
      </x:c>
      <x:c r="I8" s="30" t="str"/>
      <x:c r="J8" s="135" t="n"/>
      <x:c r="K8" s="135" t="n">
        <x:v>0</x:v>
      </x:c>
      <x:c r="L8" s="45" t="n">
        <x:v>0</x:v>
      </x:c>
      <x:c r="M8" s="30" t="inlineStr">
        <x:is>
          <x:t xml:space="preserve">Moteur de décision</x:t>
        </x:is>
      </x:c>
      <x:c r="N8" s="30" t="inlineStr">
        <x:is>
          <x:t xml:space="preserve">Test limité</x:t>
        </x:is>
      </x:c>
      <x:c r="O8" s="30" t="str"/>
      <x:c r="P8" s="30" t="str"/>
      <x:c r="Q8" s="30" t="inlineStr">
        <x:is>
          <x:t xml:space="preserve">Lecture publique : AUD en dimension principale et VIS en nuance. Lecture interne : tag de qualification uniquement.</x:t>
        </x:is>
      </x:c>
    </x:row>
    <x:row r="9" ht="36" customHeight="1">
      <x:c r="A9" s="30" t="inlineStr">
        <x:is>
          <x:t xml:space="preserve">Q2A</x:t>
        </x:is>
      </x:c>
      <x:c r="B9" s="30" t="n">
        <x:v>2</x:v>
      </x:c>
      <x:c r="C9" s="30" t="inlineStr">
        <x:is>
          <x:t xml:space="preserve">Vos ventes augmentent brusquement. Quelle devient votre première priorité ?</x:t>
        </x:is>
      </x:c>
      <x:c r="D9" s="30" t="inlineStr">
        <x:is>
          <x:t xml:space="preserve">Je cherche d’abord à sécuriser les nouveaux encaissements.</x:t>
        </x:is>
      </x:c>
      <x:c r="E9" s="30" t="inlineStr">
        <x:is>
          <x:t xml:space="preserve">ORG</x:t>
        </x:is>
      </x:c>
      <x:c r="F9" s="45" t="n">
        <x:v>2</x:v>
      </x:c>
      <x:c r="G9" s="45" t="inlineStr">
        <x:is>
          <x:t xml:space="preserve">TRA</x:t>
        </x:is>
      </x:c>
      <x:c r="H9" s="45" t="n">
        <x:v>1</x:v>
      </x:c>
      <x:c r="I9" s="30" t="str"/>
      <x:c r="J9" s="135" t="n"/>
      <x:c r="K9" s="135" t="n">
        <x:v>0</x:v>
      </x:c>
      <x:c r="L9" s="45" t="n">
        <x:v>0</x:v>
      </x:c>
      <x:c r="M9" s="30" t="inlineStr">
        <x:is>
          <x:t xml:space="preserve">Priorité en croissance</x:t>
        </x:is>
      </x:c>
      <x:c r="N9" s="30" t="inlineStr">
        <x:is>
          <x:t xml:space="preserve">Sécuriser les encaissements</x:t>
        </x:is>
      </x:c>
      <x:c r="O9" s="30" t="str"/>
      <x:c r="P9" s="30" t="str"/>
      <x:c r="Q9" s="30" t="inlineStr">
        <x:is>
          <x:t xml:space="preserve">Lecture publique : ORG en dimension principale et TRA en nuance. Lecture interne : tag de qualification uniquement.</x:t>
        </x:is>
      </x:c>
    </x:row>
    <x:row r="10" ht="36" customHeight="1">
      <x:c r="A10" s="30" t="inlineStr">
        <x:is>
          <x:t xml:space="preserve">Q2B</x:t>
        </x:is>
      </x:c>
      <x:c r="B10" s="30" t="n">
        <x:v>2</x:v>
      </x:c>
      <x:c r="C10" s="30" t="inlineStr">
        <x:is>
          <x:t xml:space="preserve">Vos ventes augmentent brusquement. Quelle devient votre première priorité ?</x:t>
        </x:is>
      </x:c>
      <x:c r="D10" s="30" t="inlineStr">
        <x:is>
          <x:t xml:space="preserve">Je m’assure que mon organisation peut absorber cette augmentation.</x:t>
        </x:is>
      </x:c>
      <x:c r="E10" s="30" t="inlineStr">
        <x:is>
          <x:t xml:space="preserve">TRA</x:t>
        </x:is>
      </x:c>
      <x:c r="F10" s="45" t="n">
        <x:v>2</x:v>
      </x:c>
      <x:c r="G10" s="45" t="inlineStr">
        <x:is>
          <x:t xml:space="preserve">INF</x:t>
        </x:is>
      </x:c>
      <x:c r="H10" s="45" t="n">
        <x:v>1</x:v>
      </x:c>
      <x:c r="I10" s="30" t="str"/>
      <x:c r="J10" s="135" t="n"/>
      <x:c r="K10" s="135" t="n">
        <x:v>0</x:v>
      </x:c>
      <x:c r="L10" s="45" t="n">
        <x:v>0</x:v>
      </x:c>
      <x:c r="M10" s="30" t="inlineStr">
        <x:is>
          <x:t xml:space="preserve">Priorité en croissance</x:t>
        </x:is>
      </x:c>
      <x:c r="N10" s="30" t="inlineStr">
        <x:is>
          <x:t xml:space="preserve">Structurer les opérations</x:t>
        </x:is>
      </x:c>
      <x:c r="O10" s="30" t="str"/>
      <x:c r="P10" s="30" t="str"/>
      <x:c r="Q10" s="30" t="inlineStr">
        <x:is>
          <x:t xml:space="preserve">Lecture publique : TRA en dimension principale et INF en nuance. Lecture interne : tag de qualification uniquement.</x:t>
        </x:is>
      </x:c>
    </x:row>
    <x:row r="11" ht="36" customHeight="1">
      <x:c r="A11" s="30" t="inlineStr">
        <x:is>
          <x:t xml:space="preserve">Q2C</x:t>
        </x:is>
      </x:c>
      <x:c r="B11" s="30" t="n">
        <x:v>2</x:v>
      </x:c>
      <x:c r="C11" s="30" t="inlineStr">
        <x:is>
          <x:t xml:space="preserve">Vos ventes augmentent brusquement. Quelle devient votre première priorité ?</x:t>
        </x:is>
      </x:c>
      <x:c r="D11" s="30" t="inlineStr">
        <x:is>
          <x:t xml:space="preserve">Je veille surtout à maintenir une bonne expérience pour mes clients.</x:t>
        </x:is>
      </x:c>
      <x:c r="E11" s="30" t="inlineStr">
        <x:is>
          <x:t xml:space="preserve">INF</x:t>
        </x:is>
      </x:c>
      <x:c r="F11" s="45" t="n">
        <x:v>2</x:v>
      </x:c>
      <x:c r="G11" s="45" t="inlineStr">
        <x:is>
          <x:t xml:space="preserve">VIS</x:t>
        </x:is>
      </x:c>
      <x:c r="H11" s="45" t="n">
        <x:v>1</x:v>
      </x:c>
      <x:c r="I11" s="30" t="str"/>
      <x:c r="J11" s="135" t="n"/>
      <x:c r="K11" s="135" t="n">
        <x:v>0</x:v>
      </x:c>
      <x:c r="L11" s="45" t="n">
        <x:v>0</x:v>
      </x:c>
      <x:c r="M11" s="30" t="inlineStr">
        <x:is>
          <x:t xml:space="preserve">Priorité en croissance</x:t>
        </x:is>
      </x:c>
      <x:c r="N11" s="30" t="inlineStr">
        <x:is>
          <x:t xml:space="preserve">Préserver l’expérience client</x:t>
        </x:is>
      </x:c>
      <x:c r="O11" s="30" t="str"/>
      <x:c r="P11" s="30" t="str"/>
      <x:c r="Q11" s="30" t="inlineStr">
        <x:is>
          <x:t xml:space="preserve">Lecture publique : INF en dimension principale et VIS en nuance. Lecture interne : tag de qualification uniquement.</x:t>
        </x:is>
      </x:c>
    </x:row>
    <x:row r="12" ht="36" customHeight="1">
      <x:c r="A12" s="30" t="inlineStr">
        <x:is>
          <x:t xml:space="preserve">Q2D</x:t>
        </x:is>
      </x:c>
      <x:c r="B12" s="30" t="n">
        <x:v>2</x:v>
      </x:c>
      <x:c r="C12" s="30" t="inlineStr">
        <x:is>
          <x:t xml:space="preserve">Vos ventes augmentent brusquement. Quelle devient votre première priorité ?</x:t>
        </x:is>
      </x:c>
      <x:c r="D12" s="30" t="inlineStr">
        <x:is>
          <x:t xml:space="preserve">Je prépare immédiatement la prochaine étape de développement.</x:t>
        </x:is>
      </x:c>
      <x:c r="E12" s="30" t="inlineStr">
        <x:is>
          <x:t xml:space="preserve">VIS</x:t>
        </x:is>
      </x:c>
      <x:c r="F12" s="45" t="n">
        <x:v>2</x:v>
      </x:c>
      <x:c r="G12" s="45" t="inlineStr">
        <x:is>
          <x:t xml:space="preserve">AUD</x:t>
        </x:is>
      </x:c>
      <x:c r="H12" s="45" t="n">
        <x:v>1</x:v>
      </x:c>
      <x:c r="I12" s="30" t="str"/>
      <x:c r="J12" s="135" t="n"/>
      <x:c r="K12" s="135" t="n">
        <x:v>0</x:v>
      </x:c>
      <x:c r="L12" s="45" t="n">
        <x:v>0</x:v>
      </x:c>
      <x:c r="M12" s="30" t="inlineStr">
        <x:is>
          <x:t xml:space="preserve">Priorité en croissance</x:t>
        </x:is>
      </x:c>
      <x:c r="N12" s="30" t="inlineStr">
        <x:is>
          <x:t xml:space="preserve">Accélérer le développement</x:t>
        </x:is>
      </x:c>
      <x:c r="O12" s="30" t="str"/>
      <x:c r="P12" s="30" t="str"/>
      <x:c r="Q12" s="30" t="inlineStr">
        <x:is>
          <x:t xml:space="preserve">Lecture publique : VIS en dimension principale et AUD en nuance. Lecture interne : tag de qualification uniquement.</x:t>
        </x:is>
      </x:c>
    </x:row>
    <x:row r="13" ht="36" customHeight="1">
      <x:c r="A13" s="30" t="inlineStr">
        <x:is>
          <x:t xml:space="preserve">Q3A</x:t>
        </x:is>
      </x:c>
      <x:c r="B13" s="30" t="n">
        <x:v>3</x:v>
      </x:c>
      <x:c r="C13" s="30" t="inlineStr">
        <x:is>
          <x:t xml:space="preserve">Vous devez prendre une décision sans avoir toutes les informations. Que faites-vous ?</x:t>
        </x:is>
      </x:c>
      <x:c r="D13" s="30" t="inlineStr">
        <x:is>
          <x:t xml:space="preserve">Je m’appuie sur mon expérience pour choisir la direction qui me paraît juste.</x:t>
        </x:is>
      </x:c>
      <x:c r="E13" s="30" t="inlineStr">
        <x:is>
          <x:t xml:space="preserve">AUD</x:t>
        </x:is>
      </x:c>
      <x:c r="F13" s="45" t="n">
        <x:v>2</x:v>
      </x:c>
      <x:c r="G13" s="45" t="inlineStr">
        <x:is>
          <x:t xml:space="preserve">VIS</x:t>
        </x:is>
      </x:c>
      <x:c r="H13" s="45" t="n">
        <x:v>1</x:v>
      </x:c>
      <x:c r="I13" s="30" t="str"/>
      <x:c r="J13" s="135" t="n"/>
      <x:c r="K13" s="135" t="n">
        <x:v>0</x:v>
      </x:c>
      <x:c r="L13" s="45" t="n">
        <x:v>0</x:v>
      </x:c>
      <x:c r="M13" s="30" t="inlineStr">
        <x:is>
          <x:t xml:space="preserve">Style de décision</x:t>
        </x:is>
      </x:c>
      <x:c r="N13" s="30" t="inlineStr">
        <x:is>
          <x:t xml:space="preserve">Expérience</x:t>
        </x:is>
      </x:c>
      <x:c r="O13" s="30" t="str"/>
      <x:c r="P13" s="30" t="str"/>
      <x:c r="Q13" s="30" t="inlineStr">
        <x:is>
          <x:t xml:space="preserve">Lecture publique : AUD en dimension principale et VIS en nuance. Lecture interne : tag de qualification uniquement.</x:t>
        </x:is>
      </x:c>
    </x:row>
    <x:row r="14" ht="36" customHeight="1">
      <x:c r="A14" s="30" t="inlineStr">
        <x:is>
          <x:t xml:space="preserve">Q3B</x:t>
        </x:is>
      </x:c>
      <x:c r="B14" s="30" t="n">
        <x:v>3</x:v>
      </x:c>
      <x:c r="C14" s="30" t="inlineStr">
        <x:is>
          <x:t xml:space="preserve">Vous devez prendre une décision sans avoir toutes les informations. Que faites-vous ?</x:t>
        </x:is>
      </x:c>
      <x:c r="D14" s="30" t="inlineStr">
        <x:is>
          <x:t xml:space="preserve">Je préfère attendre d’avoir des données plus fiables avant de me prononcer.</x:t>
        </x:is>
      </x:c>
      <x:c r="E14" s="30" t="inlineStr">
        <x:is>
          <x:t xml:space="preserve">STR</x:t>
        </x:is>
      </x:c>
      <x:c r="F14" s="45" t="n">
        <x:v>2</x:v>
      </x:c>
      <x:c r="G14" s="45" t="inlineStr">
        <x:is>
          <x:t xml:space="preserve">ORG</x:t>
        </x:is>
      </x:c>
      <x:c r="H14" s="45" t="n">
        <x:v>1</x:v>
      </x:c>
      <x:c r="I14" s="30" t="str"/>
      <x:c r="J14" s="135" t="n"/>
      <x:c r="K14" s="135" t="n">
        <x:v>0</x:v>
      </x:c>
      <x:c r="L14" s="45" t="n">
        <x:v>0</x:v>
      </x:c>
      <x:c r="M14" s="30" t="inlineStr">
        <x:is>
          <x:t xml:space="preserve">Style de décision</x:t>
        </x:is>
      </x:c>
      <x:c r="N14" s="30" t="inlineStr">
        <x:is>
          <x:t xml:space="preserve">Données</x:t>
        </x:is>
      </x:c>
      <x:c r="O14" s="30" t="str"/>
      <x:c r="P14" s="30" t="str"/>
      <x:c r="Q14" s="30" t="inlineStr">
        <x:is>
          <x:t xml:space="preserve">Lecture publique : STR en dimension principale et ORG en nuance. Lecture interne : tag de qualification uniquement.</x:t>
        </x:is>
      </x:c>
    </x:row>
    <x:row r="15" ht="36" customHeight="1">
      <x:c r="A15" s="30" t="inlineStr">
        <x:is>
          <x:t xml:space="preserve">Q3C</x:t>
        </x:is>
      </x:c>
      <x:c r="B15" s="30" t="n">
        <x:v>3</x:v>
      </x:c>
      <x:c r="C15" s="30" t="inlineStr">
        <x:is>
          <x:t xml:space="preserve">Vous devez prendre une décision sans avoir toutes les informations. Que faites-vous ?</x:t>
        </x:is>
      </x:c>
      <x:c r="D15" s="30" t="inlineStr">
        <x:is>
          <x:t xml:space="preserve">Je demande l’avis de personnes capables de compléter ma lecture.</x:t>
        </x:is>
      </x:c>
      <x:c r="E15" s="30" t="inlineStr">
        <x:is>
          <x:t xml:space="preserve">INF</x:t>
        </x:is>
      </x:c>
      <x:c r="F15" s="45" t="n">
        <x:v>2</x:v>
      </x:c>
      <x:c r="G15" s="45" t="inlineStr">
        <x:is>
          <x:t xml:space="preserve">STR</x:t>
        </x:is>
      </x:c>
      <x:c r="H15" s="45" t="n">
        <x:v>1</x:v>
      </x:c>
      <x:c r="I15" s="30" t="str"/>
      <x:c r="J15" s="135" t="n"/>
      <x:c r="K15" s="135" t="n">
        <x:v>0</x:v>
      </x:c>
      <x:c r="L15" s="45" t="n">
        <x:v>0</x:v>
      </x:c>
      <x:c r="M15" s="30" t="inlineStr">
        <x:is>
          <x:t xml:space="preserve">Style de décision</x:t>
        </x:is>
      </x:c>
      <x:c r="N15" s="30" t="inlineStr">
        <x:is>
          <x:t xml:space="preserve">Consultation</x:t>
        </x:is>
      </x:c>
      <x:c r="O15" s="30" t="str"/>
      <x:c r="P15" s="30" t="str"/>
      <x:c r="Q15" s="30" t="inlineStr">
        <x:is>
          <x:t xml:space="preserve">Lecture publique : INF en dimension principale et STR en nuance. Lecture interne : tag de qualification uniquement.</x:t>
        </x:is>
      </x:c>
    </x:row>
    <x:row r="16" ht="36" customHeight="1">
      <x:c r="A16" s="30" t="inlineStr">
        <x:is>
          <x:t xml:space="preserve">Q3D</x:t>
        </x:is>
      </x:c>
      <x:c r="B16" s="30" t="n">
        <x:v>3</x:v>
      </x:c>
      <x:c r="C16" s="30" t="inlineStr">
        <x:is>
          <x:t xml:space="preserve">Vous devez prendre une décision sans avoir toutes les informations. Que faites-vous ?</x:t>
        </x:is>
      </x:c>
      <x:c r="D16" s="30" t="inlineStr">
        <x:is>
          <x:t xml:space="preserve">Je lance un test limité pour observer ce qui fonctionne réellement.</x:t>
        </x:is>
      </x:c>
      <x:c r="E16" s="30" t="inlineStr">
        <x:is>
          <x:t xml:space="preserve">AUD</x:t>
        </x:is>
      </x:c>
      <x:c r="F16" s="45" t="n">
        <x:v>2</x:v>
      </x:c>
      <x:c r="G16" s="45" t="inlineStr">
        <x:is>
          <x:t xml:space="preserve">EXE</x:t>
        </x:is>
      </x:c>
      <x:c r="H16" s="45" t="n">
        <x:v>1</x:v>
      </x:c>
      <x:c r="I16" s="30" t="str"/>
      <x:c r="J16" s="135" t="n"/>
      <x:c r="K16" s="135" t="n">
        <x:v>0</x:v>
      </x:c>
      <x:c r="L16" s="45" t="n">
        <x:v>0</x:v>
      </x:c>
      <x:c r="M16" s="30" t="inlineStr">
        <x:is>
          <x:t xml:space="preserve">Style de décision</x:t>
        </x:is>
      </x:c>
      <x:c r="N16" s="30" t="inlineStr">
        <x:is>
          <x:t xml:space="preserve">Expérimentation</x:t>
        </x:is>
      </x:c>
      <x:c r="O16" s="30" t="str"/>
      <x:c r="P16" s="30" t="str"/>
      <x:c r="Q16" s="30" t="inlineStr">
        <x:is>
          <x:t xml:space="preserve">Lecture publique : AUD en dimension principale et EXE en nuance. Lecture interne : tag de qualification uniquement.</x:t>
        </x:is>
      </x:c>
    </x:row>
    <x:row r="17" ht="36" customHeight="1">
      <x:c r="A17" s="30" t="inlineStr">
        <x:is>
          <x:t xml:space="preserve">Q4A</x:t>
        </x:is>
      </x:c>
      <x:c r="B17" s="30" t="n">
        <x:v>4</x:v>
      </x:c>
      <x:c r="C17" s="30" t="inlineStr">
        <x:is>
          <x:t xml:space="preserve">Comment suivez-vous généralement les ventes réalisées au cours d’une semaine ?</x:t>
        </x:is>
      </x:c>
      <x:c r="D17" s="30" t="inlineStr">
        <x:is>
          <x:t xml:space="preserve">Je consulte régulièrement un outil qui centralise toutes mes ventes.</x:t>
        </x:is>
      </x:c>
      <x:c r="E17" s="30" t="inlineStr">
        <x:is>
          <x:t xml:space="preserve">TRA</x:t>
        </x:is>
      </x:c>
      <x:c r="F17" s="45" t="n">
        <x:v>2</x:v>
      </x:c>
      <x:c r="G17" s="45" t="inlineStr">
        <x:is>
          <x:t xml:space="preserve">STR</x:t>
        </x:is>
      </x:c>
      <x:c r="H17" s="45" t="n">
        <x:v>1</x:v>
      </x:c>
      <x:c r="I17" s="30" t="inlineStr">
        <x:is>
          <x:t xml:space="preserve">Suivi des ventes</x:t>
        </x:is>
      </x:c>
      <x:c r="J17" s="135" t="n">
        <x:v>3</x:v>
      </x:c>
      <x:c r="K17" s="135" t="n">
        <x:v>10</x:v>
      </x:c>
      <x:c r="L17" s="45" t="n">
        <x:v>1</x:v>
      </x:c>
      <x:c r="M17" s="30" t="inlineStr">
        <x:is>
          <x:t xml:space="preserve">Mode opérationnel</x:t>
        </x:is>
      </x:c>
      <x:c r="N17" s="30" t="inlineStr">
        <x:is>
          <x:t xml:space="preserve">Outil centralisé</x:t>
        </x:is>
      </x:c>
      <x:c r="O17" s="30" t="str"/>
      <x:c r="P17" s="30" t="str"/>
      <x:c r="Q17" s="30" t="inlineStr">
        <x:is>
          <x:t xml:space="preserve">Lecture publique : TRA en dimension principale et STR en nuance. Lecture interne : Suivi des ventes.</x:t>
        </x:is>
      </x:c>
    </x:row>
    <x:row r="18" ht="36" customHeight="1">
      <x:c r="A18" s="30" t="inlineStr">
        <x:is>
          <x:t xml:space="preserve">Q4B</x:t>
        </x:is>
      </x:c>
      <x:c r="B18" s="30" t="n">
        <x:v>4</x:v>
      </x:c>
      <x:c r="C18" s="30" t="inlineStr">
        <x:is>
          <x:t xml:space="preserve">Comment suivez-vous généralement les ventes réalisées au cours d’une semaine ?</x:t>
        </x:is>
      </x:c>
      <x:c r="D18" s="30" t="inlineStr">
        <x:is>
          <x:t xml:space="preserve">Je note les ventes dans un fichier ou un cahier lorsque j’en ai le temps.</x:t>
        </x:is>
      </x:c>
      <x:c r="E18" s="30" t="inlineStr">
        <x:is>
          <x:t xml:space="preserve">EXE</x:t>
        </x:is>
      </x:c>
      <x:c r="F18" s="45" t="n">
        <x:v>2</x:v>
      </x:c>
      <x:c r="G18" s="45" t="inlineStr">
        <x:is>
          <x:t xml:space="preserve">ORG</x:t>
        </x:is>
      </x:c>
      <x:c r="H18" s="45" t="n">
        <x:v>1</x:v>
      </x:c>
      <x:c r="I18" s="30" t="inlineStr">
        <x:is>
          <x:t xml:space="preserve">Suivi des ventes</x:t>
        </x:is>
      </x:c>
      <x:c r="J18" s="135" t="n">
        <x:v>2</x:v>
      </x:c>
      <x:c r="K18" s="135" t="n">
        <x:v>10</x:v>
      </x:c>
      <x:c r="L18" s="45" t="n">
        <x:v>1</x:v>
      </x:c>
      <x:c r="M18" s="30" t="inlineStr">
        <x:is>
          <x:t xml:space="preserve">Mode opérationnel</x:t>
        </x:is>
      </x:c>
      <x:c r="N18" s="30" t="inlineStr">
        <x:is>
          <x:t xml:space="preserve">Fichier ou cahier irrégulier</x:t>
        </x:is>
      </x:c>
      <x:c r="O18" s="30" t="str"/>
      <x:c r="P18" s="30" t="str"/>
      <x:c r="Q18" s="30" t="inlineStr">
        <x:is>
          <x:t xml:space="preserve">Lecture publique : EXE en dimension principale et ORG en nuance. Lecture interne : Suivi des ventes.</x:t>
        </x:is>
      </x:c>
    </x:row>
    <x:row r="19" ht="36" customHeight="1">
      <x:c r="A19" s="30" t="inlineStr">
        <x:is>
          <x:t xml:space="preserve">Q4C</x:t>
        </x:is>
      </x:c>
      <x:c r="B19" s="30" t="n">
        <x:v>4</x:v>
      </x:c>
      <x:c r="C19" s="30" t="inlineStr">
        <x:is>
          <x:t xml:space="preserve">Comment suivez-vous généralement les ventes réalisées au cours d’une semaine ?</x:t>
        </x:is>
      </x:c>
      <x:c r="D19" s="30" t="inlineStr">
        <x:is>
          <x:t xml:space="preserve">Je reconstitue les ventes à partir des messages et des paiements reçus.</x:t>
        </x:is>
      </x:c>
      <x:c r="E19" s="30" t="inlineStr">
        <x:is>
          <x:t xml:space="preserve">ADA</x:t>
        </x:is>
      </x:c>
      <x:c r="F19" s="45" t="n">
        <x:v>2</x:v>
      </x:c>
      <x:c r="G19" s="45" t="inlineStr">
        <x:is>
          <x:t xml:space="preserve">EXE</x:t>
        </x:is>
      </x:c>
      <x:c r="H19" s="45" t="n">
        <x:v>1</x:v>
      </x:c>
      <x:c r="I19" s="30" t="inlineStr">
        <x:is>
          <x:t xml:space="preserve">Suivi des ventes</x:t>
        </x:is>
      </x:c>
      <x:c r="J19" s="135" t="n">
        <x:v>1</x:v>
      </x:c>
      <x:c r="K19" s="135" t="n">
        <x:v>10</x:v>
      </x:c>
      <x:c r="L19" s="45" t="n">
        <x:v>1</x:v>
      </x:c>
      <x:c r="M19" s="30" t="inlineStr">
        <x:is>
          <x:t xml:space="preserve">Mode opérationnel</x:t>
        </x:is>
      </x:c>
      <x:c r="N19" s="30" t="inlineStr">
        <x:is>
          <x:t xml:space="preserve">Reconstitution manuelle</x:t>
        </x:is>
      </x:c>
      <x:c r="O19" s="30" t="str"/>
      <x:c r="P19" s="30" t="str"/>
      <x:c r="Q19" s="30" t="inlineStr">
        <x:is>
          <x:t xml:space="preserve">Lecture publique : ADA en dimension principale et EXE en nuance. Lecture interne : Suivi des ventes.</x:t>
        </x:is>
      </x:c>
    </x:row>
    <x:row r="20" ht="36" customHeight="1">
      <x:c r="A20" s="30" t="inlineStr">
        <x:is>
          <x:t xml:space="preserve">Q4D</x:t>
        </x:is>
      </x:c>
      <x:c r="B20" s="30" t="n">
        <x:v>4</x:v>
      </x:c>
      <x:c r="C20" s="30" t="inlineStr">
        <x:is>
          <x:t xml:space="preserve">Comment suivez-vous généralement les ventes réalisées au cours d’une semaine ?</x:t>
        </x:is>
      </x:c>
      <x:c r="D20" s="30" t="inlineStr">
        <x:is>
          <x:t xml:space="preserve">Je me fie surtout à ce que j’ai vendu et à l’argent encore disponible.</x:t>
        </x:is>
      </x:c>
      <x:c r="E20" s="30" t="inlineStr">
        <x:is>
          <x:t xml:space="preserve">AUD</x:t>
        </x:is>
      </x:c>
      <x:c r="F20" s="45" t="n">
        <x:v>2</x:v>
      </x:c>
      <x:c r="G20" s="45" t="inlineStr">
        <x:is>
          <x:t xml:space="preserve">ADA</x:t>
        </x:is>
      </x:c>
      <x:c r="H20" s="45" t="n">
        <x:v>1</x:v>
      </x:c>
      <x:c r="I20" s="30" t="inlineStr">
        <x:is>
          <x:t xml:space="preserve">Suivi des ventes</x:t>
        </x:is>
      </x:c>
      <x:c r="J20" s="135" t="n">
        <x:v>0</x:v>
      </x:c>
      <x:c r="K20" s="135" t="n">
        <x:v>10</x:v>
      </x:c>
      <x:c r="L20" s="45" t="n">
        <x:v>1</x:v>
      </x:c>
      <x:c r="M20" s="30" t="inlineStr">
        <x:is>
          <x:t xml:space="preserve">Mode opérationnel</x:t>
        </x:is>
      </x:c>
      <x:c r="N20" s="30" t="inlineStr">
        <x:is>
          <x:t xml:space="preserve">Estimation informelle</x:t>
        </x:is>
      </x:c>
      <x:c r="O20" s="30" t="str"/>
      <x:c r="P20" s="30" t="str"/>
      <x:c r="Q20" s="30" t="inlineStr">
        <x:is>
          <x:t xml:space="preserve">Lecture publique : AUD en dimension principale et ADA en nuance. Lecture interne : Suivi des ventes.</x:t>
        </x:is>
      </x:c>
    </x:row>
    <x:row r="21" ht="36" customHeight="1">
      <x:c r="A21" s="30" t="inlineStr">
        <x:is>
          <x:t xml:space="preserve">Q5A</x:t>
        </x:is>
      </x:c>
      <x:c r="B21" s="30" t="n">
        <x:v>5</x:v>
      </x:c>
      <x:c r="C21" s="30" t="inlineStr">
        <x:is>
          <x:t xml:space="preserve">Le montant encaissé ne correspond pas aux ventes réalisées. Quel est votre premier réflexe ?</x:t>
        </x:is>
      </x:c>
      <x:c r="D21" s="30" t="inlineStr">
        <x:is>
          <x:t xml:space="preserve">Je consulte l’historique des transactions pour retrouver l’origine de l’écart.</x:t>
        </x:is>
      </x:c>
      <x:c r="E21" s="30" t="inlineStr">
        <x:is>
          <x:t xml:space="preserve">STR</x:t>
        </x:is>
      </x:c>
      <x:c r="F21" s="45" t="n">
        <x:v>2</x:v>
      </x:c>
      <x:c r="G21" s="45" t="inlineStr">
        <x:is>
          <x:t xml:space="preserve">TRA</x:t>
        </x:is>
      </x:c>
      <x:c r="H21" s="45" t="n">
        <x:v>1</x:v>
      </x:c>
      <x:c r="I21" s="30" t="inlineStr">
        <x:is>
          <x:t xml:space="preserve">Gestion des écarts</x:t>
        </x:is>
      </x:c>
      <x:c r="J21" s="135" t="n">
        <x:v>3</x:v>
      </x:c>
      <x:c r="K21" s="135" t="n">
        <x:v>15</x:v>
      </x:c>
      <x:c r="L21" s="45" t="n">
        <x:v>1</x:v>
      </x:c>
      <x:c r="M21" s="30" t="inlineStr">
        <x:is>
          <x:t xml:space="preserve">Mode opérationnel</x:t>
        </x:is>
      </x:c>
      <x:c r="N21" s="30" t="inlineStr">
        <x:is>
          <x:t xml:space="preserve">Historique transactionnel</x:t>
        </x:is>
      </x:c>
      <x:c r="O21" s="30" t="str"/>
      <x:c r="P21" s="30" t="str"/>
      <x:c r="Q21" s="30" t="inlineStr">
        <x:is>
          <x:t xml:space="preserve">Lecture publique : STR en dimension principale et TRA en nuance. Lecture interne : Gestion des écarts.</x:t>
        </x:is>
      </x:c>
    </x:row>
    <x:row r="22" ht="36" customHeight="1">
      <x:c r="A22" s="30" t="inlineStr">
        <x:is>
          <x:t xml:space="preserve">Q5B</x:t>
        </x:is>
      </x:c>
      <x:c r="B22" s="30" t="n">
        <x:v>5</x:v>
      </x:c>
      <x:c r="C22" s="30" t="inlineStr">
        <x:is>
          <x:t xml:space="preserve">Le montant encaissé ne correspond pas aux ventes réalisées. Quel est votre premier réflexe ?</x:t>
        </x:is>
      </x:c>
      <x:c r="D22" s="30" t="inlineStr">
        <x:is>
          <x:t xml:space="preserve">Je reprends mon registre de ventes pour identifier ce qui manque.</x:t>
        </x:is>
      </x:c>
      <x:c r="E22" s="30" t="inlineStr">
        <x:is>
          <x:t xml:space="preserve">ORG</x:t>
        </x:is>
      </x:c>
      <x:c r="F22" s="45" t="n">
        <x:v>2</x:v>
      </x:c>
      <x:c r="G22" s="45" t="inlineStr">
        <x:is>
          <x:t xml:space="preserve">EXE</x:t>
        </x:is>
      </x:c>
      <x:c r="H22" s="45" t="n">
        <x:v>1</x:v>
      </x:c>
      <x:c r="I22" s="30" t="inlineStr">
        <x:is>
          <x:t xml:space="preserve">Gestion des écarts</x:t>
        </x:is>
      </x:c>
      <x:c r="J22" s="135" t="n">
        <x:v>2</x:v>
      </x:c>
      <x:c r="K22" s="135" t="n">
        <x:v>15</x:v>
      </x:c>
      <x:c r="L22" s="45" t="n">
        <x:v>1</x:v>
      </x:c>
      <x:c r="M22" s="30" t="inlineStr">
        <x:is>
          <x:t xml:space="preserve">Mode opérationnel</x:t>
        </x:is>
      </x:c>
      <x:c r="N22" s="30" t="inlineStr">
        <x:is>
          <x:t xml:space="preserve">Registre de ventes</x:t>
        </x:is>
      </x:c>
      <x:c r="O22" s="30" t="str"/>
      <x:c r="P22" s="30" t="str"/>
      <x:c r="Q22" s="30" t="inlineStr">
        <x:is>
          <x:t xml:space="preserve">Lecture publique : ORG en dimension principale et EXE en nuance. Lecture interne : Gestion des écarts.</x:t>
        </x:is>
      </x:c>
    </x:row>
    <x:row r="23" ht="36" customHeight="1">
      <x:c r="A23" s="30" t="inlineStr">
        <x:is>
          <x:t xml:space="preserve">Q5C</x:t>
        </x:is>
      </x:c>
      <x:c r="B23" s="30" t="n">
        <x:v>5</x:v>
      </x:c>
      <x:c r="C23" s="30" t="inlineStr">
        <x:is>
          <x:t xml:space="preserve">Le montant encaissé ne correspond pas aux ventes réalisées. Quel est votre premier réflexe ?</x:t>
        </x:is>
      </x:c>
      <x:c r="D23" s="30" t="inlineStr">
        <x:is>
          <x:t xml:space="preserve">Je demande des explications aux personnes qui ont encaissé.</x:t>
        </x:is>
      </x:c>
      <x:c r="E23" s="30" t="inlineStr">
        <x:is>
          <x:t xml:space="preserve">INF</x:t>
        </x:is>
      </x:c>
      <x:c r="F23" s="45" t="n">
        <x:v>2</x:v>
      </x:c>
      <x:c r="G23" s="45" t="inlineStr">
        <x:is>
          <x:t xml:space="preserve">EXE</x:t>
        </x:is>
      </x:c>
      <x:c r="H23" s="45" t="n">
        <x:v>1</x:v>
      </x:c>
      <x:c r="I23" s="30" t="inlineStr">
        <x:is>
          <x:t xml:space="preserve">Gestion des écarts</x:t>
        </x:is>
      </x:c>
      <x:c r="J23" s="135" t="n">
        <x:v>1</x:v>
      </x:c>
      <x:c r="K23" s="135" t="n">
        <x:v>15</x:v>
      </x:c>
      <x:c r="L23" s="45" t="n">
        <x:v>1</x:v>
      </x:c>
      <x:c r="M23" s="30" t="inlineStr">
        <x:is>
          <x:t xml:space="preserve">Mode opérationnel</x:t>
        </x:is>
      </x:c>
      <x:c r="N23" s="30" t="inlineStr">
        <x:is>
          <x:t xml:space="preserve">Explication de l’équipe</x:t>
        </x:is>
      </x:c>
      <x:c r="O23" s="30" t="str"/>
      <x:c r="P23" s="30" t="str"/>
      <x:c r="Q23" s="30" t="inlineStr">
        <x:is>
          <x:t xml:space="preserve">Lecture publique : INF en dimension principale et EXE en nuance. Lecture interne : Gestion des écarts.</x:t>
        </x:is>
      </x:c>
    </x:row>
    <x:row r="24" ht="36" customHeight="1">
      <x:c r="A24" s="30" t="inlineStr">
        <x:is>
          <x:t xml:space="preserve">Q5D</x:t>
        </x:is>
      </x:c>
      <x:c r="B24" s="30" t="n">
        <x:v>5</x:v>
      </x:c>
      <x:c r="C24" s="30" t="inlineStr">
        <x:is>
          <x:t xml:space="preserve">Le montant encaissé ne correspond pas aux ventes réalisées. Quel est votre premier réflexe ?</x:t>
        </x:is>
      </x:c>
      <x:c r="D24" s="30" t="inlineStr">
        <x:is>
          <x:t xml:space="preserve">Je n’ai pas toujours les éléments nécessaires pour expliquer immédiatement l’écart.</x:t>
        </x:is>
      </x:c>
      <x:c r="E24" s="30" t="inlineStr">
        <x:is>
          <x:t xml:space="preserve">ADA</x:t>
        </x:is>
      </x:c>
      <x:c r="F24" s="45" t="n">
        <x:v>2</x:v>
      </x:c>
      <x:c r="G24" s="45" t="inlineStr">
        <x:is>
          <x:t xml:space="preserve">AUD</x:t>
        </x:is>
      </x:c>
      <x:c r="H24" s="45" t="n">
        <x:v>1</x:v>
      </x:c>
      <x:c r="I24" s="30" t="inlineStr">
        <x:is>
          <x:t xml:space="preserve">Gestion des écarts</x:t>
        </x:is>
      </x:c>
      <x:c r="J24" s="135" t="n">
        <x:v>0</x:v>
      </x:c>
      <x:c r="K24" s="135" t="n">
        <x:v>15</x:v>
      </x:c>
      <x:c r="L24" s="45" t="n">
        <x:v>1</x:v>
      </x:c>
      <x:c r="M24" s="30" t="inlineStr">
        <x:is>
          <x:t xml:space="preserve">Mode opérationnel</x:t>
        </x:is>
      </x:c>
      <x:c r="N24" s="30" t="inlineStr">
        <x:is>
          <x:t xml:space="preserve">Écart difficile à expliquer</x:t>
        </x:is>
      </x:c>
      <x:c r="O24" s="30" t="str"/>
      <x:c r="P24" s="30" t="str"/>
      <x:c r="Q24" s="30" t="inlineStr">
        <x:is>
          <x:t xml:space="preserve">Lecture publique : ADA en dimension principale et AUD en nuance. Lecture interne : Gestion des écarts.</x:t>
        </x:is>
      </x:c>
    </x:row>
    <x:row r="25" ht="36" customHeight="1">
      <x:c r="A25" s="30" t="inlineStr">
        <x:is>
          <x:t xml:space="preserve">Q6A</x:t>
        </x:is>
      </x:c>
      <x:c r="B25" s="30" t="n">
        <x:v>6</x:v>
      </x:c>
      <x:c r="C25" s="30" t="inlineStr">
        <x:is>
          <x:t xml:space="preserve">Vos clients utilisent plusieurs moyens de paiement. Comment gardez-vous une vue d’ensemble ?</x:t>
        </x:is>
      </x:c>
      <x:c r="D25" s="30" t="inlineStr">
        <x:is>
          <x:t xml:space="preserve">Je consulte un tableau de bord qui regroupe tous les paiements reçus.</x:t>
        </x:is>
      </x:c>
      <x:c r="E25" s="30" t="inlineStr">
        <x:is>
          <x:t xml:space="preserve">TRA</x:t>
        </x:is>
      </x:c>
      <x:c r="F25" s="45" t="n">
        <x:v>2</x:v>
      </x:c>
      <x:c r="G25" s="45" t="inlineStr">
        <x:is>
          <x:t xml:space="preserve">STR</x:t>
        </x:is>
      </x:c>
      <x:c r="H25" s="45" t="n">
        <x:v>1</x:v>
      </x:c>
      <x:c r="I25" s="30" t="inlineStr">
        <x:is>
          <x:t xml:space="preserve">Centralisation des paiements</x:t>
        </x:is>
      </x:c>
      <x:c r="J25" s="135" t="n">
        <x:v>3</x:v>
      </x:c>
      <x:c r="K25" s="135" t="n">
        <x:v>15</x:v>
      </x:c>
      <x:c r="L25" s="45" t="n">
        <x:v>1</x:v>
      </x:c>
      <x:c r="M25" s="30" t="inlineStr">
        <x:is>
          <x:t xml:space="preserve">Mode opérationnel</x:t>
        </x:is>
      </x:c>
      <x:c r="N25" s="30" t="inlineStr">
        <x:is>
          <x:t xml:space="preserve">Tableau de bord unique</x:t>
        </x:is>
      </x:c>
      <x:c r="O25" s="30" t="str"/>
      <x:c r="P25" s="30" t="str"/>
      <x:c r="Q25" s="30" t="inlineStr">
        <x:is>
          <x:t xml:space="preserve">Lecture publique : TRA en dimension principale et STR en nuance. Lecture interne : Centralisation des paiements.</x:t>
        </x:is>
      </x:c>
    </x:row>
    <x:row r="26" ht="36" customHeight="1">
      <x:c r="A26" s="30" t="inlineStr">
        <x:is>
          <x:t xml:space="preserve">Q6B</x:t>
        </x:is>
      </x:c>
      <x:c r="B26" s="30" t="n">
        <x:v>6</x:v>
      </x:c>
      <x:c r="C26" s="30" t="inlineStr">
        <x:is>
          <x:t xml:space="preserve">Vos clients utilisent plusieurs moyens de paiement. Comment gardez-vous une vue d’ensemble ?</x:t>
        </x:is>
      </x:c>
      <x:c r="D26" s="30" t="inlineStr">
        <x:is>
          <x:t xml:space="preserve">Je vérifie séparément le solde de chaque moyen de paiement.</x:t>
        </x:is>
      </x:c>
      <x:c r="E26" s="30" t="inlineStr">
        <x:is>
          <x:t xml:space="preserve">STR</x:t>
        </x:is>
      </x:c>
      <x:c r="F26" s="45" t="n">
        <x:v>2</x:v>
      </x:c>
      <x:c r="G26" s="45" t="inlineStr">
        <x:is>
          <x:t xml:space="preserve">ORG</x:t>
        </x:is>
      </x:c>
      <x:c r="H26" s="45" t="n">
        <x:v>1</x:v>
      </x:c>
      <x:c r="I26" s="30" t="inlineStr">
        <x:is>
          <x:t xml:space="preserve">Centralisation des paiements</x:t>
        </x:is>
      </x:c>
      <x:c r="J26" s="135" t="n">
        <x:v>2</x:v>
      </x:c>
      <x:c r="K26" s="135" t="n">
        <x:v>15</x:v>
      </x:c>
      <x:c r="L26" s="45" t="n">
        <x:v>1</x:v>
      </x:c>
      <x:c r="M26" s="30" t="inlineStr">
        <x:is>
          <x:t xml:space="preserve">Mode opérationnel</x:t>
        </x:is>
      </x:c>
      <x:c r="N26" s="30" t="inlineStr">
        <x:is>
          <x:t xml:space="preserve">Consultation séparée</x:t>
        </x:is>
      </x:c>
      <x:c r="O26" s="30" t="str"/>
      <x:c r="P26" s="30" t="str"/>
      <x:c r="Q26" s="30" t="inlineStr">
        <x:is>
          <x:t xml:space="preserve">Lecture publique : STR en dimension principale et ORG en nuance. Lecture interne : Centralisation des paiements.</x:t>
        </x:is>
      </x:c>
    </x:row>
    <x:row r="27" ht="36" customHeight="1">
      <x:c r="A27" s="30" t="inlineStr">
        <x:is>
          <x:t xml:space="preserve">Q6C</x:t>
        </x:is>
      </x:c>
      <x:c r="B27" s="30" t="n">
        <x:v>6</x:v>
      </x:c>
      <x:c r="C27" s="30" t="inlineStr">
        <x:is>
          <x:t xml:space="preserve">Vos clients utilisent plusieurs moyens de paiement. Comment gardez-vous une vue d’ensemble ?</x:t>
        </x:is>
      </x:c>
      <x:c r="D27" s="30" t="inlineStr">
        <x:is>
          <x:t xml:space="preserve">Je regroupe manuellement les différents montants à certains moments.</x:t>
        </x:is>
      </x:c>
      <x:c r="E27" s="30" t="inlineStr">
        <x:is>
          <x:t xml:space="preserve">EXE</x:t>
        </x:is>
      </x:c>
      <x:c r="F27" s="45" t="n">
        <x:v>2</x:v>
      </x:c>
      <x:c r="G27" s="45" t="inlineStr">
        <x:is>
          <x:t xml:space="preserve">ADA</x:t>
        </x:is>
      </x:c>
      <x:c r="H27" s="45" t="n">
        <x:v>1</x:v>
      </x:c>
      <x:c r="I27" s="30" t="inlineStr">
        <x:is>
          <x:t xml:space="preserve">Centralisation des paiements</x:t>
        </x:is>
      </x:c>
      <x:c r="J27" s="135" t="n">
        <x:v>1</x:v>
      </x:c>
      <x:c r="K27" s="135" t="n">
        <x:v>15</x:v>
      </x:c>
      <x:c r="L27" s="45" t="n">
        <x:v>1</x:v>
      </x:c>
      <x:c r="M27" s="30" t="inlineStr">
        <x:is>
          <x:t xml:space="preserve">Mode opérationnel</x:t>
        </x:is>
      </x:c>
      <x:c r="N27" s="30" t="inlineStr">
        <x:is>
          <x:t xml:space="preserve">Consolidation manuelle</x:t>
        </x:is>
      </x:c>
      <x:c r="O27" s="30" t="str"/>
      <x:c r="P27" s="30" t="str"/>
      <x:c r="Q27" s="30" t="inlineStr">
        <x:is>
          <x:t xml:space="preserve">Lecture publique : EXE en dimension principale et ADA en nuance. Lecture interne : Centralisation des paiements.</x:t>
        </x:is>
      </x:c>
    </x:row>
    <x:row r="28" ht="36" customHeight="1">
      <x:c r="A28" s="30" t="inlineStr">
        <x:is>
          <x:t xml:space="preserve">Q6D</x:t>
        </x:is>
      </x:c>
      <x:c r="B28" s="30" t="n">
        <x:v>6</x:v>
      </x:c>
      <x:c r="C28" s="30" t="inlineStr">
        <x:is>
          <x:t xml:space="preserve">Vos clients utilisent plusieurs moyens de paiement. Comment gardez-vous une vue d’ensemble ?</x:t>
        </x:is>
      </x:c>
      <x:c r="D28" s="30" t="inlineStr">
        <x:is>
          <x:t xml:space="preserve">Je me base principalement sur les notifications reçues au fil des paiements.</x:t>
        </x:is>
      </x:c>
      <x:c r="E28" s="30" t="inlineStr">
        <x:is>
          <x:t xml:space="preserve">ADA</x:t>
        </x:is>
      </x:c>
      <x:c r="F28" s="45" t="n">
        <x:v>2</x:v>
      </x:c>
      <x:c r="G28" s="45" t="inlineStr">
        <x:is>
          <x:t xml:space="preserve">AUD</x:t>
        </x:is>
      </x:c>
      <x:c r="H28" s="45" t="n">
        <x:v>1</x:v>
      </x:c>
      <x:c r="I28" s="30" t="inlineStr">
        <x:is>
          <x:t xml:space="preserve">Centralisation des paiements</x:t>
        </x:is>
      </x:c>
      <x:c r="J28" s="135" t="n">
        <x:v>0</x:v>
      </x:c>
      <x:c r="K28" s="135" t="n">
        <x:v>15</x:v>
      </x:c>
      <x:c r="L28" s="45" t="n">
        <x:v>1</x:v>
      </x:c>
      <x:c r="M28" s="30" t="inlineStr">
        <x:is>
          <x:t xml:space="preserve">Mode opérationnel</x:t>
        </x:is>
      </x:c>
      <x:c r="N28" s="30" t="inlineStr">
        <x:is>
          <x:t xml:space="preserve">Suivi par notifications</x:t>
        </x:is>
      </x:c>
      <x:c r="O28" s="30" t="str"/>
      <x:c r="P28" s="30" t="str"/>
      <x:c r="Q28" s="30" t="inlineStr">
        <x:is>
          <x:t xml:space="preserve">Lecture publique : ADA en dimension principale et AUD en nuance. Lecture interne : Centralisation des paiements.</x:t>
        </x:is>
      </x:c>
    </x:row>
    <x:row r="29" ht="36" customHeight="1">
      <x:c r="A29" s="30" t="inlineStr">
        <x:is>
          <x:t xml:space="preserve">Q7A</x:t>
        </x:is>
      </x:c>
      <x:c r="B29" s="30" t="n">
        <x:v>7</x:v>
      </x:c>
      <x:c r="C29" s="30" t="inlineStr">
        <x:is>
          <x:t xml:space="preserve">À quel moment savez-vous réellement ce que votre entreprise peut dépenser ?</x:t>
        </x:is>
      </x:c>
      <x:c r="D29" s="30" t="inlineStr">
        <x:is>
          <x:t xml:space="preserve">Je peux consulter ma trésorerie disponible à tout moment.</x:t>
        </x:is>
      </x:c>
      <x:c r="E29" s="30" t="inlineStr">
        <x:is>
          <x:t xml:space="preserve">STR</x:t>
        </x:is>
      </x:c>
      <x:c r="F29" s="45" t="n">
        <x:v>2</x:v>
      </x:c>
      <x:c r="G29" s="45" t="inlineStr">
        <x:is>
          <x:t xml:space="preserve">VIS</x:t>
        </x:is>
      </x:c>
      <x:c r="H29" s="45" t="n">
        <x:v>1</x:v>
      </x:c>
      <x:c r="I29" s="30" t="inlineStr">
        <x:is>
          <x:t xml:space="preserve">Visibilité sur la trésorerie</x:t>
        </x:is>
      </x:c>
      <x:c r="J29" s="135" t="n">
        <x:v>3</x:v>
      </x:c>
      <x:c r="K29" s="135" t="n">
        <x:v>15</x:v>
      </x:c>
      <x:c r="L29" s="45" t="n">
        <x:v>1</x:v>
      </x:c>
      <x:c r="M29" s="30" t="inlineStr">
        <x:is>
          <x:t xml:space="preserve">Mode opérationnel</x:t>
        </x:is>
      </x:c>
      <x:c r="N29" s="30" t="inlineStr">
        <x:is>
          <x:t xml:space="preserve">Temps réel</x:t>
        </x:is>
      </x:c>
      <x:c r="O29" s="30" t="str"/>
      <x:c r="P29" s="30" t="str"/>
      <x:c r="Q29" s="30" t="inlineStr">
        <x:is>
          <x:t xml:space="preserve">Lecture publique : STR en dimension principale et VIS en nuance. Lecture interne : Visibilité sur la trésorerie.</x:t>
        </x:is>
      </x:c>
    </x:row>
    <x:row r="30" ht="36" customHeight="1">
      <x:c r="A30" s="30" t="inlineStr">
        <x:is>
          <x:t xml:space="preserve">Q7B</x:t>
        </x:is>
      </x:c>
      <x:c r="B30" s="30" t="n">
        <x:v>7</x:v>
      </x:c>
      <x:c r="C30" s="30" t="inlineStr">
        <x:is>
          <x:t xml:space="preserve">À quel moment savez-vous réellement ce que votre entreprise peut dépenser ?</x:t>
        </x:is>
      </x:c>
      <x:c r="D30" s="30" t="inlineStr">
        <x:is>
          <x:t xml:space="preserve">Je le sais après avoir fait un point périodique sur mes entrées et mes sorties.</x:t>
        </x:is>
      </x:c>
      <x:c r="E30" s="30" t="inlineStr">
        <x:is>
          <x:t xml:space="preserve">ORG</x:t>
        </x:is>
      </x:c>
      <x:c r="F30" s="45" t="n">
        <x:v>2</x:v>
      </x:c>
      <x:c r="G30" s="45" t="inlineStr">
        <x:is>
          <x:t xml:space="preserve">STR</x:t>
        </x:is>
      </x:c>
      <x:c r="H30" s="45" t="n">
        <x:v>1</x:v>
      </x:c>
      <x:c r="I30" s="30" t="inlineStr">
        <x:is>
          <x:t xml:space="preserve">Visibilité sur la trésorerie</x:t>
        </x:is>
      </x:c>
      <x:c r="J30" s="135" t="n">
        <x:v>2</x:v>
      </x:c>
      <x:c r="K30" s="135" t="n">
        <x:v>15</x:v>
      </x:c>
      <x:c r="L30" s="45" t="n">
        <x:v>1</x:v>
      </x:c>
      <x:c r="M30" s="30" t="inlineStr">
        <x:is>
          <x:t xml:space="preserve">Mode opérationnel</x:t>
        </x:is>
      </x:c>
      <x:c r="N30" s="30" t="inlineStr">
        <x:is>
          <x:t xml:space="preserve">Point périodique</x:t>
        </x:is>
      </x:c>
      <x:c r="O30" s="30" t="str"/>
      <x:c r="P30" s="30" t="str"/>
      <x:c r="Q30" s="30" t="inlineStr">
        <x:is>
          <x:t xml:space="preserve">Lecture publique : ORG en dimension principale et STR en nuance. Lecture interne : Visibilité sur la trésorerie.</x:t>
        </x:is>
      </x:c>
    </x:row>
    <x:row r="31" ht="36" customHeight="1">
      <x:c r="A31" s="30" t="inlineStr">
        <x:is>
          <x:t xml:space="preserve">Q7C</x:t>
        </x:is>
      </x:c>
      <x:c r="B31" s="30" t="n">
        <x:v>7</x:v>
      </x:c>
      <x:c r="C31" s="30" t="inlineStr">
        <x:is>
          <x:t xml:space="preserve">À quel moment savez-vous réellement ce que votre entreprise peut dépenser ?</x:t>
        </x:is>
      </x:c>
      <x:c r="D31" s="30" t="inlineStr">
        <x:is>
          <x:t xml:space="preserve">Je me fie au solde visible sur mes comptes au moment de décider.</x:t>
        </x:is>
      </x:c>
      <x:c r="E31" s="30" t="inlineStr">
        <x:is>
          <x:t xml:space="preserve">AUD</x:t>
        </x:is>
      </x:c>
      <x:c r="F31" s="45" t="n">
        <x:v>2</x:v>
      </x:c>
      <x:c r="G31" s="45" t="inlineStr">
        <x:is>
          <x:t xml:space="preserve">ADA</x:t>
        </x:is>
      </x:c>
      <x:c r="H31" s="45" t="n">
        <x:v>1</x:v>
      </x:c>
      <x:c r="I31" s="30" t="inlineStr">
        <x:is>
          <x:t xml:space="preserve">Visibilité sur la trésorerie</x:t>
        </x:is>
      </x:c>
      <x:c r="J31" s="135" t="n">
        <x:v>1</x:v>
      </x:c>
      <x:c r="K31" s="135" t="n">
        <x:v>15</x:v>
      </x:c>
      <x:c r="L31" s="45" t="n">
        <x:v>1</x:v>
      </x:c>
      <x:c r="M31" s="30" t="inlineStr">
        <x:is>
          <x:t xml:space="preserve">Mode opérationnel</x:t>
        </x:is>
      </x:c>
      <x:c r="N31" s="30" t="inlineStr">
        <x:is>
          <x:t xml:space="preserve">Solde instantané</x:t>
        </x:is>
      </x:c>
      <x:c r="O31" s="30" t="str"/>
      <x:c r="P31" s="30" t="str"/>
      <x:c r="Q31" s="30" t="inlineStr">
        <x:is>
          <x:t xml:space="preserve">Lecture publique : AUD en dimension principale et ADA en nuance. Lecture interne : Visibilité sur la trésorerie.</x:t>
        </x:is>
      </x:c>
    </x:row>
    <x:row r="32" ht="36" customHeight="1">
      <x:c r="A32" s="30" t="inlineStr">
        <x:is>
          <x:t xml:space="preserve">Q7D</x:t>
        </x:is>
      </x:c>
      <x:c r="B32" s="30" t="n">
        <x:v>7</x:v>
      </x:c>
      <x:c r="C32" s="30" t="inlineStr">
        <x:is>
          <x:t xml:space="preserve">À quel moment savez-vous réellement ce que votre entreprise peut dépenser ?</x:t>
        </x:is>
      </x:c>
      <x:c r="D32" s="30" t="inlineStr">
        <x:is>
          <x:t xml:space="preserve">Je le découvre surtout lorsqu’une dépense importante doit être réglée.</x:t>
        </x:is>
      </x:c>
      <x:c r="E32" s="30" t="inlineStr">
        <x:is>
          <x:t xml:space="preserve">AUD</x:t>
        </x:is>
      </x:c>
      <x:c r="F32" s="45" t="n">
        <x:v>2</x:v>
      </x:c>
      <x:c r="G32" s="45" t="inlineStr">
        <x:is>
          <x:t xml:space="preserve">EXE</x:t>
        </x:is>
      </x:c>
      <x:c r="H32" s="45" t="n">
        <x:v>1</x:v>
      </x:c>
      <x:c r="I32" s="30" t="inlineStr">
        <x:is>
          <x:t xml:space="preserve">Visibilité sur la trésorerie</x:t>
        </x:is>
      </x:c>
      <x:c r="J32" s="135" t="n">
        <x:v>0</x:v>
      </x:c>
      <x:c r="K32" s="135" t="n">
        <x:v>15</x:v>
      </x:c>
      <x:c r="L32" s="45" t="n">
        <x:v>1</x:v>
      </x:c>
      <x:c r="M32" s="30" t="inlineStr">
        <x:is>
          <x:t xml:space="preserve">Mode opérationnel</x:t>
        </x:is>
      </x:c>
      <x:c r="N32" s="30" t="inlineStr">
        <x:is>
          <x:t xml:space="preserve">Découverte à l’échéance</x:t>
        </x:is>
      </x:c>
      <x:c r="O32" s="30" t="str"/>
      <x:c r="P32" s="30" t="str"/>
      <x:c r="Q32" s="30" t="inlineStr">
        <x:is>
          <x:t xml:space="preserve">Lecture publique : AUD en dimension principale et EXE en nuance. Lecture interne : Visibilité sur la trésorerie.</x:t>
        </x:is>
      </x:c>
    </x:row>
    <x:row r="33" ht="36" customHeight="1">
      <x:c r="A33" s="30" t="inlineStr">
        <x:is>
          <x:t xml:space="preserve">Q8A</x:t>
        </x:is>
      </x:c>
      <x:c r="B33" s="30" t="n">
        <x:v>8</x:v>
      </x:c>
      <x:c r="C33" s="30" t="inlineStr">
        <x:is>
          <x:t xml:space="preserve">Lorsque vient le moment de faire la comptabilité, dans quel état se trouvent vos informations ?</x:t>
        </x:is>
      </x:c>
      <x:c r="D33" s="30" t="inlineStr">
        <x:is>
          <x:t xml:space="preserve">Mes opérations sont déjà enregistrées et peuvent être consultées rapidement.</x:t>
        </x:is>
      </x:c>
      <x:c r="E33" s="30" t="inlineStr">
        <x:is>
          <x:t xml:space="preserve">TRA</x:t>
        </x:is>
      </x:c>
      <x:c r="F33" s="45" t="n">
        <x:v>2</x:v>
      </x:c>
      <x:c r="G33" s="45" t="inlineStr">
        <x:is>
          <x:t xml:space="preserve">VIS</x:t>
        </x:is>
      </x:c>
      <x:c r="H33" s="45" t="n">
        <x:v>1</x:v>
      </x:c>
      <x:c r="I33" s="30" t="inlineStr">
        <x:is>
          <x:t xml:space="preserve">Préparation comptable</x:t>
        </x:is>
      </x:c>
      <x:c r="J33" s="135" t="n">
        <x:v>3</x:v>
      </x:c>
      <x:c r="K33" s="135" t="n">
        <x:v>10</x:v>
      </x:c>
      <x:c r="L33" s="45" t="n">
        <x:v>1</x:v>
      </x:c>
      <x:c r="M33" s="30" t="inlineStr">
        <x:is>
          <x:t xml:space="preserve">Mode opérationnel</x:t>
        </x:is>
      </x:c>
      <x:c r="N33" s="30" t="inlineStr">
        <x:is>
          <x:t xml:space="preserve">Opérations à jour</x:t>
        </x:is>
      </x:c>
      <x:c r="O33" s="30" t="str"/>
      <x:c r="P33" s="30" t="str"/>
      <x:c r="Q33" s="30" t="inlineStr">
        <x:is>
          <x:t xml:space="preserve">Lecture publique : TRA en dimension principale et VIS en nuance. Lecture interne : Préparation comptable.</x:t>
        </x:is>
      </x:c>
    </x:row>
    <x:row r="34" ht="36" customHeight="1">
      <x:c r="A34" s="30" t="inlineStr">
        <x:is>
          <x:t xml:space="preserve">Q8B</x:t>
        </x:is>
      </x:c>
      <x:c r="B34" s="30" t="n">
        <x:v>8</x:v>
      </x:c>
      <x:c r="C34" s="30" t="inlineStr">
        <x:is>
          <x:t xml:space="preserve">Lorsque vient le moment de faire la comptabilité, dans quel état se trouvent vos informations ?</x:t>
        </x:is>
      </x:c>
      <x:c r="D34" s="30" t="inlineStr">
        <x:is>
          <x:t xml:space="preserve">Mes justificatifs sont conservés, mais je dois encore les organiser.</x:t>
        </x:is>
      </x:c>
      <x:c r="E34" s="30" t="inlineStr">
        <x:is>
          <x:t xml:space="preserve">EXE</x:t>
        </x:is>
      </x:c>
      <x:c r="F34" s="45" t="n">
        <x:v>2</x:v>
      </x:c>
      <x:c r="G34" s="45" t="inlineStr">
        <x:is>
          <x:t xml:space="preserve">ORG</x:t>
        </x:is>
      </x:c>
      <x:c r="H34" s="45" t="n">
        <x:v>1</x:v>
      </x:c>
      <x:c r="I34" s="30" t="inlineStr">
        <x:is>
          <x:t xml:space="preserve">Préparation comptable</x:t>
        </x:is>
      </x:c>
      <x:c r="J34" s="135" t="n">
        <x:v>2</x:v>
      </x:c>
      <x:c r="K34" s="135" t="n">
        <x:v>10</x:v>
      </x:c>
      <x:c r="L34" s="45" t="n">
        <x:v>1</x:v>
      </x:c>
      <x:c r="M34" s="30" t="inlineStr">
        <x:is>
          <x:t xml:space="preserve">Mode opérationnel</x:t>
        </x:is>
      </x:c>
      <x:c r="N34" s="30" t="inlineStr">
        <x:is>
          <x:t xml:space="preserve">Justificatifs à organiser</x:t>
        </x:is>
      </x:c>
      <x:c r="O34" s="30" t="str"/>
      <x:c r="P34" s="30" t="str"/>
      <x:c r="Q34" s="30" t="inlineStr">
        <x:is>
          <x:t xml:space="preserve">Lecture publique : EXE en dimension principale et ORG en nuance. Lecture interne : Préparation comptable.</x:t>
        </x:is>
      </x:c>
    </x:row>
    <x:row r="35" ht="36" customHeight="1">
      <x:c r="A35" s="30" t="inlineStr">
        <x:is>
          <x:t xml:space="preserve">Q8C</x:t>
        </x:is>
      </x:c>
      <x:c r="B35" s="30" t="n">
        <x:v>8</x:v>
      </x:c>
      <x:c r="C35" s="30" t="inlineStr">
        <x:is>
          <x:t xml:space="preserve">Lorsque vient le moment de faire la comptabilité, dans quel état se trouvent vos informations ?</x:t>
        </x:is>
      </x:c>
      <x:c r="D35" s="30" t="inlineStr">
        <x:is>
          <x:t xml:space="preserve">Je rassemble les informations nécessaires à l’approche de l’échéance.</x:t>
        </x:is>
      </x:c>
      <x:c r="E35" s="30" t="inlineStr">
        <x:is>
          <x:t xml:space="preserve">ADA</x:t>
        </x:is>
      </x:c>
      <x:c r="F35" s="45" t="n">
        <x:v>2</x:v>
      </x:c>
      <x:c r="G35" s="45" t="inlineStr">
        <x:is>
          <x:t xml:space="preserve">EXE</x:t>
        </x:is>
      </x:c>
      <x:c r="H35" s="45" t="n">
        <x:v>1</x:v>
      </x:c>
      <x:c r="I35" s="30" t="inlineStr">
        <x:is>
          <x:t xml:space="preserve">Préparation comptable</x:t>
        </x:is>
      </x:c>
      <x:c r="J35" s="135" t="n">
        <x:v>1</x:v>
      </x:c>
      <x:c r="K35" s="135" t="n">
        <x:v>10</x:v>
      </x:c>
      <x:c r="L35" s="45" t="n">
        <x:v>1</x:v>
      </x:c>
      <x:c r="M35" s="30" t="inlineStr">
        <x:is>
          <x:t xml:space="preserve">Mode opérationnel</x:t>
        </x:is>
      </x:c>
      <x:c r="N35" s="30" t="inlineStr">
        <x:is>
          <x:t xml:space="preserve">Collecte à l’échéance</x:t>
        </x:is>
      </x:c>
      <x:c r="O35" s="30" t="str"/>
      <x:c r="P35" s="30" t="str"/>
      <x:c r="Q35" s="30" t="inlineStr">
        <x:is>
          <x:t xml:space="preserve">Lecture publique : ADA en dimension principale et EXE en nuance. Lecture interne : Préparation comptable.</x:t>
        </x:is>
      </x:c>
    </x:row>
    <x:row r="36" ht="36" customHeight="1">
      <x:c r="A36" s="30" t="inlineStr">
        <x:is>
          <x:t xml:space="preserve">Q8D</x:t>
        </x:is>
      </x:c>
      <x:c r="B36" s="30" t="n">
        <x:v>8</x:v>
      </x:c>
      <x:c r="C36" s="30" t="inlineStr">
        <x:is>
          <x:t xml:space="preserve">Lorsque vient le moment de faire la comptabilité, dans quel état se trouvent vos informations ?</x:t>
        </x:is>
      </x:c>
      <x:c r="D36" s="30" t="inlineStr">
        <x:is>
          <x:t xml:space="preserve">Je dois souvent reconstituer certaines opérations après leur réalisation.</x:t>
        </x:is>
      </x:c>
      <x:c r="E36" s="30" t="inlineStr">
        <x:is>
          <x:t xml:space="preserve">ADA</x:t>
        </x:is>
      </x:c>
      <x:c r="F36" s="45" t="n">
        <x:v>2</x:v>
      </x:c>
      <x:c r="G36" s="45" t="inlineStr">
        <x:is>
          <x:t xml:space="preserve">AUD</x:t>
        </x:is>
      </x:c>
      <x:c r="H36" s="45" t="n">
        <x:v>1</x:v>
      </x:c>
      <x:c r="I36" s="30" t="inlineStr">
        <x:is>
          <x:t xml:space="preserve">Préparation comptable</x:t>
        </x:is>
      </x:c>
      <x:c r="J36" s="135" t="n">
        <x:v>0</x:v>
      </x:c>
      <x:c r="K36" s="135" t="n">
        <x:v>10</x:v>
      </x:c>
      <x:c r="L36" s="45" t="n">
        <x:v>1</x:v>
      </x:c>
      <x:c r="M36" s="30" t="inlineStr">
        <x:is>
          <x:t xml:space="preserve">Mode opérationnel</x:t>
        </x:is>
      </x:c>
      <x:c r="N36" s="30" t="inlineStr">
        <x:is>
          <x:t xml:space="preserve">Reconstitution après coup</x:t>
        </x:is>
      </x:c>
      <x:c r="O36" s="30" t="str"/>
      <x:c r="P36" s="30" t="str"/>
      <x:c r="Q36" s="30" t="inlineStr">
        <x:is>
          <x:t xml:space="preserve">Lecture publique : ADA en dimension principale et AUD en nuance. Lecture interne : Préparation comptable.</x:t>
        </x:is>
      </x:c>
    </x:row>
    <x:row r="37" ht="36" customHeight="1">
      <x:c r="A37" s="30" t="inlineStr">
        <x:is>
          <x:t xml:space="preserve">Q9A</x:t>
        </x:is>
      </x:c>
      <x:c r="B37" s="30" t="n">
        <x:v>9</x:v>
      </x:c>
      <x:c r="C37" s="30" t="inlineStr">
        <x:is>
          <x:t xml:space="preserve">Lorsque d’autres personnes encaissent pour votre entreprise, comment suivez-vous leur activité ?</x:t>
        </x:is>
      </x:c>
      <x:c r="D37" s="30" t="inlineStr">
        <x:is>
          <x:t xml:space="preserve">Chaque encaissement peut être rattaché à une vente et à la personne concernée.</x:t>
        </x:is>
      </x:c>
      <x:c r="E37" s="30" t="inlineStr">
        <x:is>
          <x:t xml:space="preserve">ORG</x:t>
        </x:is>
      </x:c>
      <x:c r="F37" s="45" t="n">
        <x:v>2</x:v>
      </x:c>
      <x:c r="G37" s="45" t="inlineStr">
        <x:is>
          <x:t xml:space="preserve">INF</x:t>
        </x:is>
      </x:c>
      <x:c r="H37" s="45" t="n">
        <x:v>1</x:v>
      </x:c>
      <x:c r="I37" s="30" t="inlineStr">
        <x:is>
          <x:t xml:space="preserve">Contrôle des encaissements délégués</x:t>
        </x:is>
      </x:c>
      <x:c r="J37" s="135" t="n">
        <x:v>3</x:v>
      </x:c>
      <x:c r="K37" s="135" t="n">
        <x:v>10</x:v>
      </x:c>
      <x:c r="L37" s="45" t="n">
        <x:v>1</x:v>
      </x:c>
      <x:c r="M37" s="30" t="inlineStr">
        <x:is>
          <x:t xml:space="preserve">Mode opérationnel</x:t>
        </x:is>
      </x:c>
      <x:c r="N37" s="30" t="inlineStr">
        <x:is>
          <x:t xml:space="preserve">Traçabilité par personne</x:t>
        </x:is>
      </x:c>
      <x:c r="O37" s="30" t="inlineStr">
        <x:is>
          <x:t xml:space="preserve">Configuration d’encaissement</x:t>
        </x:is>
      </x:c>
      <x:c r="P37" s="30" t="inlineStr">
        <x:is>
          <x:t xml:space="preserve">Équipe</x:t>
        </x:is>
      </x:c>
      <x:c r="Q37" s="30" t="inlineStr">
        <x:is>
          <x:t xml:space="preserve">Lecture publique : ORG en dimension principale et INF en nuance. Lecture interne : Contrôle des encaissements délégués.</x:t>
        </x:is>
      </x:c>
    </x:row>
    <x:row r="38" ht="36" customHeight="1">
      <x:c r="A38" s="30" t="inlineStr">
        <x:is>
          <x:t xml:space="preserve">Q9B</x:t>
        </x:is>
      </x:c>
      <x:c r="B38" s="30" t="n">
        <x:v>9</x:v>
      </x:c>
      <x:c r="C38" s="30" t="inlineStr">
        <x:is>
          <x:t xml:space="preserve">Lorsque d’autres personnes encaissent pour votre entreprise, comment suivez-vous leur activité ?</x:t>
        </x:is>
      </x:c>
      <x:c r="D38" s="30" t="inlineStr">
        <x:is>
          <x:t xml:space="preserve">Les personnes concernées enregistrent leurs encaissements dans un support commun.</x:t>
        </x:is>
      </x:c>
      <x:c r="E38" s="30" t="inlineStr">
        <x:is>
          <x:t xml:space="preserve">EXE</x:t>
        </x:is>
      </x:c>
      <x:c r="F38" s="45" t="n">
        <x:v>2</x:v>
      </x:c>
      <x:c r="G38" s="45" t="inlineStr">
        <x:is>
          <x:t xml:space="preserve">INF</x:t>
        </x:is>
      </x:c>
      <x:c r="H38" s="45" t="n">
        <x:v>1</x:v>
      </x:c>
      <x:c r="I38" s="30" t="inlineStr">
        <x:is>
          <x:t xml:space="preserve">Contrôle des encaissements délégués</x:t>
        </x:is>
      </x:c>
      <x:c r="J38" s="135" t="n">
        <x:v>2</x:v>
      </x:c>
      <x:c r="K38" s="135" t="n">
        <x:v>10</x:v>
      </x:c>
      <x:c r="L38" s="45" t="n">
        <x:v>1</x:v>
      </x:c>
      <x:c r="M38" s="30" t="inlineStr">
        <x:is>
          <x:t xml:space="preserve">Mode opérationnel</x:t>
        </x:is>
      </x:c>
      <x:c r="N38" s="30" t="inlineStr">
        <x:is>
          <x:t xml:space="preserve">Support commun</x:t>
        </x:is>
      </x:c>
      <x:c r="O38" s="30" t="inlineStr">
        <x:is>
          <x:t xml:space="preserve">Configuration d’encaissement</x:t>
        </x:is>
      </x:c>
      <x:c r="P38" s="30" t="inlineStr">
        <x:is>
          <x:t xml:space="preserve">Équipe</x:t>
        </x:is>
      </x:c>
      <x:c r="Q38" s="30" t="inlineStr">
        <x:is>
          <x:t xml:space="preserve">Lecture publique : EXE en dimension principale et INF en nuance. Lecture interne : Contrôle des encaissements délégués.</x:t>
        </x:is>
      </x:c>
    </x:row>
    <x:row r="39" ht="36" customHeight="1">
      <x:c r="A39" s="30" t="inlineStr">
        <x:is>
          <x:t xml:space="preserve">Q9C</x:t>
        </x:is>
      </x:c>
      <x:c r="B39" s="30" t="n">
        <x:v>9</x:v>
      </x:c>
      <x:c r="C39" s="30" t="inlineStr">
        <x:is>
          <x:t xml:space="preserve">Lorsque d’autres personnes encaissent pour votre entreprise, comment suivez-vous leur activité ?</x:t>
        </x:is>
      </x:c>
      <x:c r="D39" s="30" t="inlineStr">
        <x:is>
          <x:t xml:space="preserve">Je reçois principalement un point oral ou un montant global en fin de journée.</x:t>
        </x:is>
      </x:c>
      <x:c r="E39" s="30" t="inlineStr">
        <x:is>
          <x:t xml:space="preserve">INF</x:t>
        </x:is>
      </x:c>
      <x:c r="F39" s="45" t="n">
        <x:v>2</x:v>
      </x:c>
      <x:c r="G39" s="45" t="inlineStr">
        <x:is>
          <x:t xml:space="preserve">ADA</x:t>
        </x:is>
      </x:c>
      <x:c r="H39" s="45" t="n">
        <x:v>1</x:v>
      </x:c>
      <x:c r="I39" s="30" t="inlineStr">
        <x:is>
          <x:t xml:space="preserve">Contrôle des encaissements délégués</x:t>
        </x:is>
      </x:c>
      <x:c r="J39" s="135" t="n">
        <x:v>1</x:v>
      </x:c>
      <x:c r="K39" s="135" t="n">
        <x:v>10</x:v>
      </x:c>
      <x:c r="L39" s="45" t="n">
        <x:v>1</x:v>
      </x:c>
      <x:c r="M39" s="30" t="inlineStr">
        <x:is>
          <x:t xml:space="preserve">Mode opérationnel</x:t>
        </x:is>
      </x:c>
      <x:c r="N39" s="30" t="inlineStr">
        <x:is>
          <x:t xml:space="preserve">Point oral ou global</x:t>
        </x:is>
      </x:c>
      <x:c r="O39" s="30" t="inlineStr">
        <x:is>
          <x:t xml:space="preserve">Configuration d’encaissement</x:t>
        </x:is>
      </x:c>
      <x:c r="P39" s="30" t="inlineStr">
        <x:is>
          <x:t xml:space="preserve">Équipe</x:t>
        </x:is>
      </x:c>
      <x:c r="Q39" s="30" t="inlineStr">
        <x:is>
          <x:t xml:space="preserve">Lecture publique : INF en dimension principale et ADA en nuance. Lecture interne : Contrôle des encaissements délégués.</x:t>
        </x:is>
      </x:c>
    </x:row>
    <x:row r="40" ht="36" customHeight="1">
      <x:c r="A40" s="30" t="inlineStr">
        <x:is>
          <x:t xml:space="preserve">Q9D</x:t>
        </x:is>
      </x:c>
      <x:c r="B40" s="30" t="n">
        <x:v>9</x:v>
      </x:c>
      <x:c r="C40" s="30" t="inlineStr">
        <x:is>
          <x:t xml:space="preserve">Lorsque d’autres personnes encaissent pour votre entreprise, comment suivez-vous leur activité ?</x:t>
        </x:is>
      </x:c>
      <x:c r="D40" s="30" t="inlineStr">
        <x:is>
          <x:t xml:space="preserve">Pour le moment, je suis la seule personne à encaisser dans mon entreprise.</x:t>
        </x:is>
      </x:c>
      <x:c r="E40" s="30" t="inlineStr">
        <x:is>
          <x:t xml:space="preserve">AUD</x:t>
        </x:is>
      </x:c>
      <x:c r="F40" s="45" t="n">
        <x:v>2</x:v>
      </x:c>
      <x:c r="G40" s="45" t="inlineStr">
        <x:is>
          <x:t xml:space="preserve">EXE</x:t>
        </x:is>
      </x:c>
      <x:c r="H40" s="45" t="n">
        <x:v>1</x:v>
      </x:c>
      <x:c r="I40" s="30" t="inlineStr">
        <x:is>
          <x:t xml:space="preserve">Contrôle des encaissements délégués</x:t>
        </x:is>
      </x:c>
      <x:c r="J40" s="135" t="n"/>
      <x:c r="K40" s="135" t="n">
        <x:v>10</x:v>
      </x:c>
      <x:c r="L40" s="45" t="n">
        <x:v>0</x:v>
      </x:c>
      <x:c r="M40" s="30" t="inlineStr">
        <x:is>
          <x:t xml:space="preserve">Mode opérationnel</x:t>
        </x:is>
      </x:c>
      <x:c r="N40" s="30" t="inlineStr">
        <x:is>
          <x:t xml:space="preserve">Encaissement en solo</x:t>
        </x:is>
      </x:c>
      <x:c r="O40" s="30" t="inlineStr">
        <x:is>
          <x:t xml:space="preserve">Configuration d’encaissement</x:t>
        </x:is>
      </x:c>
      <x:c r="P40" s="30" t="inlineStr">
        <x:is>
          <x:t xml:space="preserve">Solo</x:t>
        </x:is>
      </x:c>
      <x:c r="Q40" s="30" t="inlineStr">
        <x:is>
          <x:t xml:space="preserve">Lecture publique : AUD en dimension principale et EXE en nuance. Lecture interne : Contrôle des encaissements délégués.</x:t>
        </x:is>
      </x:c>
    </x:row>
    <x:row r="41" ht="36" customHeight="1">
      <x:c r="A41" s="30" t="inlineStr">
        <x:is>
          <x:t xml:space="preserve">Q10A</x:t>
        </x:is>
      </x:c>
      <x:c r="B41" s="30" t="n">
        <x:v>10</x:v>
      </x:c>
      <x:c r="C41" s="30" t="inlineStr">
        <x:is>
          <x:t xml:space="preserve">Lorsqu’un client souhaite vous payer à distance, comment procédez-vous généralement ?</x:t>
        </x:is>
      </x:c>
      <x:c r="D41" s="30" t="inlineStr">
        <x:is>
          <x:t xml:space="preserve">Je lui transmets un lien ou une page de paiement prévue à cet effet.</x:t>
        </x:is>
      </x:c>
      <x:c r="E41" s="30" t="inlineStr">
        <x:is>
          <x:t xml:space="preserve">TRA</x:t>
        </x:is>
      </x:c>
      <x:c r="F41" s="45" t="n">
        <x:v>2</x:v>
      </x:c>
      <x:c r="G41" s="45" t="inlineStr">
        <x:is>
          <x:t xml:space="preserve">INF</x:t>
        </x:is>
      </x:c>
      <x:c r="H41" s="45" t="n">
        <x:v>1</x:v>
      </x:c>
      <x:c r="I41" s="30" t="inlineStr">
        <x:is>
          <x:t xml:space="preserve">Paiement à distance</x:t>
        </x:is>
      </x:c>
      <x:c r="J41" s="135" t="n">
        <x:v>3</x:v>
      </x:c>
      <x:c r="K41" s="135" t="n">
        <x:v>10</x:v>
      </x:c>
      <x:c r="L41" s="45" t="n">
        <x:v>1</x:v>
      </x:c>
      <x:c r="M41" s="30" t="inlineStr">
        <x:is>
          <x:t xml:space="preserve">Mode opérationnel</x:t>
        </x:is>
      </x:c>
      <x:c r="N41" s="30" t="inlineStr">
        <x:is>
          <x:t xml:space="preserve">Lien ou page de paiement</x:t>
        </x:is>
      </x:c>
      <x:c r="O41" s="30" t="str"/>
      <x:c r="P41" s="30" t="str"/>
      <x:c r="Q41" s="30" t="inlineStr">
        <x:is>
          <x:t xml:space="preserve">Lecture publique : TRA en dimension principale et INF en nuance. Lecture interne : Paiement à distance.</x:t>
        </x:is>
      </x:c>
    </x:row>
    <x:row r="42" ht="36" customHeight="1">
      <x:c r="A42" s="30" t="inlineStr">
        <x:is>
          <x:t xml:space="preserve">Q10B</x:t>
        </x:is>
      </x:c>
      <x:c r="B42" s="30" t="n">
        <x:v>10</x:v>
      </x:c>
      <x:c r="C42" s="30" t="inlineStr">
        <x:is>
          <x:t xml:space="preserve">Lorsqu’un client souhaite vous payer à distance, comment procédez-vous généralement ?</x:t>
        </x:is>
      </x:c>
      <x:c r="D42" s="30" t="inlineStr">
        <x:is>
          <x:t xml:space="preserve">Je lui communique un numéro après avoir échangé avec lui.</x:t>
        </x:is>
      </x:c>
      <x:c r="E42" s="30" t="inlineStr">
        <x:is>
          <x:t xml:space="preserve">ADA</x:t>
        </x:is>
      </x:c>
      <x:c r="F42" s="45" t="n">
        <x:v>2</x:v>
      </x:c>
      <x:c r="G42" s="45" t="inlineStr">
        <x:is>
          <x:t xml:space="preserve">INF</x:t>
        </x:is>
      </x:c>
      <x:c r="H42" s="45" t="n">
        <x:v>1</x:v>
      </x:c>
      <x:c r="I42" s="30" t="inlineStr">
        <x:is>
          <x:t xml:space="preserve">Paiement à distance</x:t>
        </x:is>
      </x:c>
      <x:c r="J42" s="135" t="n">
        <x:v>2</x:v>
      </x:c>
      <x:c r="K42" s="135" t="n">
        <x:v>10</x:v>
      </x:c>
      <x:c r="L42" s="45" t="n">
        <x:v>1</x:v>
      </x:c>
      <x:c r="M42" s="30" t="inlineStr">
        <x:is>
          <x:t xml:space="preserve">Mode opérationnel</x:t>
        </x:is>
      </x:c>
      <x:c r="N42" s="30" t="inlineStr">
        <x:is>
          <x:t xml:space="preserve">Numéro communiqué</x:t>
        </x:is>
      </x:c>
      <x:c r="O42" s="30" t="str"/>
      <x:c r="P42" s="30" t="str"/>
      <x:c r="Q42" s="30" t="inlineStr">
        <x:is>
          <x:t xml:space="preserve">Lecture publique : ADA en dimension principale et INF en nuance. Lecture interne : Paiement à distance.</x:t>
        </x:is>
      </x:c>
    </x:row>
    <x:row r="43" ht="36" customHeight="1">
      <x:c r="A43" s="30" t="inlineStr">
        <x:is>
          <x:t xml:space="preserve">Q10C</x:t>
        </x:is>
      </x:c>
      <x:c r="B43" s="30" t="n">
        <x:v>10</x:v>
      </x:c>
      <x:c r="C43" s="30" t="inlineStr">
        <x:is>
          <x:t xml:space="preserve">Lorsqu’un client souhaite vous payer à distance, comment procédez-vous généralement ?</x:t>
        </x:is>
      </x:c>
      <x:c r="D43" s="30" t="inlineStr">
        <x:is>
          <x:t xml:space="preserve">Je privilégie encore le paiement à la livraison ou lors d’une rencontre.</x:t>
        </x:is>
      </x:c>
      <x:c r="E43" s="30" t="inlineStr">
        <x:is>
          <x:t xml:space="preserve">ORG</x:t>
        </x:is>
      </x:c>
      <x:c r="F43" s="45" t="n">
        <x:v>2</x:v>
      </x:c>
      <x:c r="G43" s="45" t="inlineStr">
        <x:is>
          <x:t xml:space="preserve">ADA</x:t>
        </x:is>
      </x:c>
      <x:c r="H43" s="45" t="n">
        <x:v>1</x:v>
      </x:c>
      <x:c r="I43" s="30" t="inlineStr">
        <x:is>
          <x:t xml:space="preserve">Paiement à distance</x:t>
        </x:is>
      </x:c>
      <x:c r="J43" s="135" t="n">
        <x:v>1</x:v>
      </x:c>
      <x:c r="K43" s="135" t="n">
        <x:v>10</x:v>
      </x:c>
      <x:c r="L43" s="45" t="n">
        <x:v>1</x:v>
      </x:c>
      <x:c r="M43" s="30" t="inlineStr">
        <x:is>
          <x:t xml:space="preserve">Mode opérationnel</x:t>
        </x:is>
      </x:c>
      <x:c r="N43" s="30" t="inlineStr">
        <x:is>
          <x:t xml:space="preserve">Paiement à la livraison</x:t>
        </x:is>
      </x:c>
      <x:c r="O43" s="30" t="str"/>
      <x:c r="P43" s="30" t="str"/>
      <x:c r="Q43" s="30" t="inlineStr">
        <x:is>
          <x:t xml:space="preserve">Lecture publique : ORG en dimension principale et ADA en nuance. Lecture interne : Paiement à distance.</x:t>
        </x:is>
      </x:c>
    </x:row>
    <x:row r="44" ht="36" customHeight="1">
      <x:c r="A44" s="30" t="inlineStr">
        <x:is>
          <x:t xml:space="preserve">Q10D</x:t>
        </x:is>
      </x:c>
      <x:c r="B44" s="30" t="n">
        <x:v>10</x:v>
      </x:c>
      <x:c r="C44" s="30" t="inlineStr">
        <x:is>
          <x:t xml:space="preserve">Lorsqu’un client souhaite vous payer à distance, comment procédez-vous généralement ?</x:t>
        </x:is>
      </x:c>
      <x:c r="D44" s="30" t="inlineStr">
        <x:is>
          <x:t xml:space="preserve">Je ne propose pas encore de moyen de paiement à distance.</x:t>
        </x:is>
      </x:c>
      <x:c r="E44" s="30" t="inlineStr">
        <x:is>
          <x:t xml:space="preserve">ORG</x:t>
        </x:is>
      </x:c>
      <x:c r="F44" s="45" t="n">
        <x:v>2</x:v>
      </x:c>
      <x:c r="G44" s="45" t="inlineStr">
        <x:is>
          <x:t xml:space="preserve">TRA</x:t>
        </x:is>
      </x:c>
      <x:c r="H44" s="45" t="n">
        <x:v>1</x:v>
      </x:c>
      <x:c r="I44" s="30" t="inlineStr">
        <x:is>
          <x:t xml:space="preserve">Paiement à distance</x:t>
        </x:is>
      </x:c>
      <x:c r="J44" s="135" t="n">
        <x:v>0</x:v>
      </x:c>
      <x:c r="K44" s="135" t="n">
        <x:v>10</x:v>
      </x:c>
      <x:c r="L44" s="45" t="n">
        <x:v>1</x:v>
      </x:c>
      <x:c r="M44" s="30" t="inlineStr">
        <x:is>
          <x:t xml:space="preserve">Mode opérationnel</x:t>
        </x:is>
      </x:c>
      <x:c r="N44" s="30" t="inlineStr">
        <x:is>
          <x:t xml:space="preserve">Aucune solution à distance</x:t>
        </x:is>
      </x:c>
      <x:c r="O44" s="30" t="str"/>
      <x:c r="P44" s="30" t="str"/>
      <x:c r="Q44" s="30" t="inlineStr">
        <x:is>
          <x:t xml:space="preserve">Lecture publique : ORG en dimension principale et TRA en nuance. Lecture interne : Paiement à distance.</x:t>
        </x:is>
      </x:c>
    </x:row>
    <x:row r="45" ht="36" customHeight="1">
      <x:c r="A45" s="30" t="inlineStr">
        <x:is>
          <x:t xml:space="preserve">Q11A</x:t>
        </x:is>
      </x:c>
      <x:c r="B45" s="30" t="n">
        <x:v>11</x:v>
      </x:c>
      <x:c r="C45" s="30" t="inlineStr">
        <x:is>
          <x:t xml:space="preserve">Quelle place le digital occupe-t-il actuellement dans vos ventes ?</x:t>
        </x:is>
      </x:c>
      <x:c r="D45" s="30" t="inlineStr">
        <x:is>
          <x:t xml:space="preserve">Mon site permet aux clients de commander et de payer directement.</x:t>
        </x:is>
      </x:c>
      <x:c r="E45" s="30" t="inlineStr">
        <x:is>
          <x:t xml:space="preserve">VIS</x:t>
        </x:is>
      </x:c>
      <x:c r="F45" s="45" t="n">
        <x:v>2</x:v>
      </x:c>
      <x:c r="G45" s="45" t="inlineStr">
        <x:is>
          <x:t xml:space="preserve">TRA</x:t>
        </x:is>
      </x:c>
      <x:c r="H45" s="45" t="n">
        <x:v>1</x:v>
      </x:c>
      <x:c r="I45" s="30" t="str"/>
      <x:c r="J45" s="135" t="n"/>
      <x:c r="K45" s="135" t="n">
        <x:v>0</x:v>
      </x:c>
      <x:c r="L45" s="45" t="n">
        <x:v>0</x:v>
      </x:c>
      <x:c r="M45" s="30" t="inlineStr">
        <x:is>
          <x:t xml:space="preserve">Canal de vente</x:t>
        </x:is>
      </x:c>
      <x:c r="N45" s="30" t="inlineStr">
        <x:is>
          <x:t xml:space="preserve">E-commerce intégré</x:t>
        </x:is>
      </x:c>
      <x:c r="O45" s="30" t="inlineStr">
        <x:is>
          <x:t xml:space="preserve">Niveau digital</x:t>
        </x:is>
      </x:c>
      <x:c r="P45" s="30" t="inlineStr">
        <x:is>
          <x:t xml:space="preserve">Transactionnel</x:t>
        </x:is>
      </x:c>
      <x:c r="Q45" s="30" t="inlineStr">
        <x:is>
          <x:t xml:space="preserve">Lecture publique : VIS en dimension principale et TRA en nuance. Lecture interne : tag de qualification uniquement.</x:t>
        </x:is>
      </x:c>
    </x:row>
    <x:row r="46" ht="36" customHeight="1">
      <x:c r="A46" s="30" t="inlineStr">
        <x:is>
          <x:t xml:space="preserve">Q11B</x:t>
        </x:is>
      </x:c>
      <x:c r="B46" s="30" t="n">
        <x:v>11</x:v>
      </x:c>
      <x:c r="C46" s="30" t="inlineStr">
        <x:is>
          <x:t xml:space="preserve">Quelle place le digital occupe-t-il actuellement dans vos ventes ?</x:t>
        </x:is>
      </x:c>
      <x:c r="D46" s="30" t="inlineStr">
        <x:is>
          <x:t xml:space="preserve">Mon site présente mes offres, mais les commandes se finalisent ailleurs.</x:t>
        </x:is>
      </x:c>
      <x:c r="E46" s="30" t="inlineStr">
        <x:is>
          <x:t xml:space="preserve">TRA</x:t>
        </x:is>
      </x:c>
      <x:c r="F46" s="45" t="n">
        <x:v>2</x:v>
      </x:c>
      <x:c r="G46" s="45" t="inlineStr">
        <x:is>
          <x:t xml:space="preserve">VIS</x:t>
        </x:is>
      </x:c>
      <x:c r="H46" s="45" t="n">
        <x:v>1</x:v>
      </x:c>
      <x:c r="I46" s="30" t="str"/>
      <x:c r="J46" s="135" t="n"/>
      <x:c r="K46" s="135" t="n">
        <x:v>0</x:v>
      </x:c>
      <x:c r="L46" s="45" t="n">
        <x:v>0</x:v>
      </x:c>
      <x:c r="M46" s="30" t="inlineStr">
        <x:is>
          <x:t xml:space="preserve">Canal de vente</x:t>
        </x:is>
      </x:c>
      <x:c r="N46" s="30" t="inlineStr">
        <x:is>
          <x:t xml:space="preserve">Site vitrine</x:t>
        </x:is>
      </x:c>
      <x:c r="O46" s="30" t="inlineStr">
        <x:is>
          <x:t xml:space="preserve">Niveau digital</x:t>
        </x:is>
      </x:c>
      <x:c r="P46" s="30" t="inlineStr">
        <x:is>
          <x:t xml:space="preserve">Non transactionnel</x:t>
        </x:is>
      </x:c>
      <x:c r="Q46" s="30" t="inlineStr">
        <x:is>
          <x:t xml:space="preserve">Lecture publique : TRA en dimension principale et VIS en nuance. Lecture interne : tag de qualification uniquement.</x:t>
        </x:is>
      </x:c>
    </x:row>
    <x:row r="47" ht="36" customHeight="1">
      <x:c r="A47" s="30" t="inlineStr">
        <x:is>
          <x:t xml:space="preserve">Q11C</x:t>
        </x:is>
      </x:c>
      <x:c r="B47" s="30" t="n">
        <x:v>11</x:v>
      </x:c>
      <x:c r="C47" s="30" t="inlineStr">
        <x:is>
          <x:t xml:space="preserve">Quelle place le digital occupe-t-il actuellement dans vos ventes ?</x:t>
        </x:is>
      </x:c>
      <x:c r="D47" s="30" t="inlineStr">
        <x:is>
          <x:t xml:space="preserve">Je vends principalement à travers les réseaux sociaux et les messageries.</x:t>
        </x:is>
      </x:c>
      <x:c r="E47" s="30" t="inlineStr">
        <x:is>
          <x:t xml:space="preserve">ADA</x:t>
        </x:is>
      </x:c>
      <x:c r="F47" s="45" t="n">
        <x:v>2</x:v>
      </x:c>
      <x:c r="G47" s="45" t="inlineStr">
        <x:is>
          <x:t xml:space="preserve">INF</x:t>
        </x:is>
      </x:c>
      <x:c r="H47" s="45" t="n">
        <x:v>1</x:v>
      </x:c>
      <x:c r="I47" s="30" t="str"/>
      <x:c r="J47" s="135" t="n"/>
      <x:c r="K47" s="135" t="n">
        <x:v>0</x:v>
      </x:c>
      <x:c r="L47" s="45" t="n">
        <x:v>0</x:v>
      </x:c>
      <x:c r="M47" s="30" t="inlineStr">
        <x:is>
          <x:t xml:space="preserve">Canal de vente</x:t>
        </x:is>
      </x:c>
      <x:c r="N47" s="30" t="inlineStr">
        <x:is>
          <x:t xml:space="preserve">Social commerce</x:t>
        </x:is>
      </x:c>
      <x:c r="O47" s="30" t="inlineStr">
        <x:is>
          <x:t xml:space="preserve">Niveau digital</x:t>
        </x:is>
      </x:c>
      <x:c r="P47" s="30" t="inlineStr">
        <x:is>
          <x:t xml:space="preserve">Conversationnel</x:t>
        </x:is>
      </x:c>
      <x:c r="Q47" s="30" t="inlineStr">
        <x:is>
          <x:t xml:space="preserve">Lecture publique : ADA en dimension principale et INF en nuance. Lecture interne : tag de qualification uniquement.</x:t>
        </x:is>
      </x:c>
    </x:row>
    <x:row r="48" ht="36" customHeight="1">
      <x:c r="A48" s="30" t="inlineStr">
        <x:is>
          <x:t xml:space="preserve">Q11D</x:t>
        </x:is>
      </x:c>
      <x:c r="B48" s="30" t="n">
        <x:v>11</x:v>
      </x:c>
      <x:c r="C48" s="30" t="inlineStr">
        <x:is>
          <x:t xml:space="preserve">Quelle place le digital occupe-t-il actuellement dans vos ventes ?</x:t>
        </x:is>
      </x:c>
      <x:c r="D48" s="30" t="inlineStr">
        <x:is>
          <x:t xml:space="preserve">Mes ventes se font encore essentiellement en présentiel.</x:t>
        </x:is>
      </x:c>
      <x:c r="E48" s="30" t="inlineStr">
        <x:is>
          <x:t xml:space="preserve">EXE</x:t>
        </x:is>
      </x:c>
      <x:c r="F48" s="45" t="n">
        <x:v>2</x:v>
      </x:c>
      <x:c r="G48" s="45" t="inlineStr">
        <x:is>
          <x:t xml:space="preserve">ORG</x:t>
        </x:is>
      </x:c>
      <x:c r="H48" s="45" t="n">
        <x:v>1</x:v>
      </x:c>
      <x:c r="I48" s="30" t="str"/>
      <x:c r="J48" s="135" t="n"/>
      <x:c r="K48" s="135" t="n">
        <x:v>0</x:v>
      </x:c>
      <x:c r="L48" s="45" t="n">
        <x:v>0</x:v>
      </x:c>
      <x:c r="M48" s="30" t="inlineStr">
        <x:is>
          <x:t xml:space="preserve">Canal de vente</x:t>
        </x:is>
      </x:c>
      <x:c r="N48" s="30" t="inlineStr">
        <x:is>
          <x:t xml:space="preserve">Présentiel</x:t>
        </x:is>
      </x:c>
      <x:c r="O48" s="30" t="inlineStr">
        <x:is>
          <x:t xml:space="preserve">Niveau digital</x:t>
        </x:is>
      </x:c>
      <x:c r="P48" s="30" t="inlineStr">
        <x:is>
          <x:t xml:space="preserve">Physique</x:t>
        </x:is>
      </x:c>
      <x:c r="Q48" s="30" t="inlineStr">
        <x:is>
          <x:t xml:space="preserve">Lecture publique : EXE en dimension principale et ORG en nuance. Lecture interne : tag de qualification uniquement.</x:t>
        </x:is>
      </x:c>
    </x:row>
    <x:row r="49" ht="36" customHeight="1">
      <x:c r="A49" s="30" t="inlineStr">
        <x:is>
          <x:t xml:space="preserve">Q12A</x:t>
        </x:is>
      </x:c>
      <x:c r="B49" s="30" t="n">
        <x:v>12</x:v>
      </x:c>
      <x:c r="C49" s="30" t="inlineStr">
        <x:is>
          <x:t xml:space="preserve">Un client affirme avoir payé, mais vous ne retrouvez pas immédiatement son paiement. Que faites-vous ?</x:t>
        </x:is>
      </x:c>
      <x:c r="D49" s="30" t="inlineStr">
        <x:is>
          <x:t xml:space="preserve">Je recherche la transaction à partir de sa référence.</x:t>
        </x:is>
      </x:c>
      <x:c r="E49" s="30" t="inlineStr">
        <x:is>
          <x:t xml:space="preserve">STR</x:t>
        </x:is>
      </x:c>
      <x:c r="F49" s="45" t="n">
        <x:v>2</x:v>
      </x:c>
      <x:c r="G49" s="45" t="inlineStr">
        <x:is>
          <x:t xml:space="preserve">TRA</x:t>
        </x:is>
      </x:c>
      <x:c r="H49" s="45" t="n">
        <x:v>1</x:v>
      </x:c>
      <x:c r="I49" s="30" t="inlineStr">
        <x:is>
          <x:t xml:space="preserve">Recherche d’un paiement</x:t>
        </x:is>
      </x:c>
      <x:c r="J49" s="135" t="n">
        <x:v>3</x:v>
      </x:c>
      <x:c r="K49" s="135" t="n">
        <x:v>15</x:v>
      </x:c>
      <x:c r="L49" s="45" t="n">
        <x:v>1</x:v>
      </x:c>
      <x:c r="M49" s="30" t="inlineStr">
        <x:is>
          <x:t xml:space="preserve">Mode opérationnel</x:t>
        </x:is>
      </x:c>
      <x:c r="N49" s="30" t="inlineStr">
        <x:is>
          <x:t xml:space="preserve">Recherche par référence</x:t>
        </x:is>
      </x:c>
      <x:c r="O49" s="30" t="str"/>
      <x:c r="P49" s="30" t="str"/>
      <x:c r="Q49" s="30" t="inlineStr">
        <x:is>
          <x:t xml:space="preserve">Lecture publique : STR en dimension principale et TRA en nuance. Lecture interne : Recherche d’un paiement.</x:t>
        </x:is>
      </x:c>
    </x:row>
    <x:row r="50" ht="36" customHeight="1">
      <x:c r="A50" s="30" t="inlineStr">
        <x:is>
          <x:t xml:space="preserve">Q12B</x:t>
        </x:is>
      </x:c>
      <x:c r="B50" s="30" t="n">
        <x:v>12</x:v>
      </x:c>
      <x:c r="C50" s="30" t="inlineStr">
        <x:is>
          <x:t xml:space="preserve">Un client affirme avoir payé, mais vous ne retrouvez pas immédiatement son paiement. Que faites-vous ?</x:t>
        </x:is>
      </x:c>
      <x:c r="D50" s="30" t="inlineStr">
        <x:is>
          <x:t xml:space="preserve">Je lui demande une preuve de paiement pour poursuivre la vérification.</x:t>
        </x:is>
      </x:c>
      <x:c r="E50" s="30" t="inlineStr">
        <x:is>
          <x:t xml:space="preserve">INF</x:t>
        </x:is>
      </x:c>
      <x:c r="F50" s="45" t="n">
        <x:v>2</x:v>
      </x:c>
      <x:c r="G50" s="45" t="inlineStr">
        <x:is>
          <x:t xml:space="preserve">STR</x:t>
        </x:is>
      </x:c>
      <x:c r="H50" s="45" t="n">
        <x:v>1</x:v>
      </x:c>
      <x:c r="I50" s="30" t="inlineStr">
        <x:is>
          <x:t xml:space="preserve">Recherche d’un paiement</x:t>
        </x:is>
      </x:c>
      <x:c r="J50" s="135" t="n">
        <x:v>2</x:v>
      </x:c>
      <x:c r="K50" s="135" t="n">
        <x:v>15</x:v>
      </x:c>
      <x:c r="L50" s="45" t="n">
        <x:v>1</x:v>
      </x:c>
      <x:c r="M50" s="30" t="inlineStr">
        <x:is>
          <x:t xml:space="preserve">Mode opérationnel</x:t>
        </x:is>
      </x:c>
      <x:c r="N50" s="30" t="inlineStr">
        <x:is>
          <x:t xml:space="preserve">Preuve demandée au client</x:t>
        </x:is>
      </x:c>
      <x:c r="O50" s="30" t="str"/>
      <x:c r="P50" s="30" t="str"/>
      <x:c r="Q50" s="30" t="inlineStr">
        <x:is>
          <x:t xml:space="preserve">Lecture publique : INF en dimension principale et STR en nuance. Lecture interne : Recherche d’un paiement.</x:t>
        </x:is>
      </x:c>
    </x:row>
    <x:row r="51" ht="36" customHeight="1">
      <x:c r="A51" s="30" t="inlineStr">
        <x:is>
          <x:t xml:space="preserve">Q12C</x:t>
        </x:is>
      </x:c>
      <x:c r="B51" s="30" t="n">
        <x:v>12</x:v>
      </x:c>
      <x:c r="C51" s="30" t="inlineStr">
        <x:is>
          <x:t xml:space="preserve">Un client affirme avoir payé, mais vous ne retrouvez pas immédiatement son paiement. Que faites-vous ?</x:t>
        </x:is>
      </x:c>
      <x:c r="D51" s="30" t="inlineStr">
        <x:is>
          <x:t xml:space="preserve">Je consulte mes différents soldes pour voir si le montant apparaît.</x:t>
        </x:is>
      </x:c>
      <x:c r="E51" s="30" t="inlineStr">
        <x:is>
          <x:t xml:space="preserve">EXE</x:t>
        </x:is>
      </x:c>
      <x:c r="F51" s="45" t="n">
        <x:v>2</x:v>
      </x:c>
      <x:c r="G51" s="45" t="inlineStr">
        <x:is>
          <x:t xml:space="preserve">STR</x:t>
        </x:is>
      </x:c>
      <x:c r="H51" s="45" t="n">
        <x:v>1</x:v>
      </x:c>
      <x:c r="I51" s="30" t="inlineStr">
        <x:is>
          <x:t xml:space="preserve">Recherche d’un paiement</x:t>
        </x:is>
      </x:c>
      <x:c r="J51" s="135" t="n">
        <x:v>1</x:v>
      </x:c>
      <x:c r="K51" s="135" t="n">
        <x:v>15</x:v>
      </x:c>
      <x:c r="L51" s="45" t="n">
        <x:v>1</x:v>
      </x:c>
      <x:c r="M51" s="30" t="inlineStr">
        <x:is>
          <x:t xml:space="preserve">Mode opérationnel</x:t>
        </x:is>
      </x:c>
      <x:c r="N51" s="30" t="inlineStr">
        <x:is>
          <x:t xml:space="preserve">Vérification des soldes</x:t>
        </x:is>
      </x:c>
      <x:c r="O51" s="30" t="str"/>
      <x:c r="P51" s="30" t="str"/>
      <x:c r="Q51" s="30" t="inlineStr">
        <x:is>
          <x:t xml:space="preserve">Lecture publique : EXE en dimension principale et STR en nuance. Lecture interne : Recherche d’un paiement.</x:t>
        </x:is>
      </x:c>
    </x:row>
    <x:row r="52" ht="36" customHeight="1">
      <x:c r="A52" s="30" t="inlineStr">
        <x:is>
          <x:t xml:space="preserve">Q12D</x:t>
        </x:is>
      </x:c>
      <x:c r="B52" s="30" t="n">
        <x:v>12</x:v>
      </x:c>
      <x:c r="C52" s="30" t="inlineStr">
        <x:is>
          <x:t xml:space="preserve">Un client affirme avoir payé, mais vous ne retrouvez pas immédiatement son paiement. Que faites-vous ?</x:t>
        </x:is>
      </x:c>
      <x:c r="D52" s="30" t="inlineStr">
        <x:is>
          <x:t xml:space="preserve">J’attends la notification ou la confirmation de mon opérateur de paiement.</x:t>
        </x:is>
      </x:c>
      <x:c r="E52" s="30" t="inlineStr">
        <x:is>
          <x:t xml:space="preserve">ORG</x:t>
        </x:is>
      </x:c>
      <x:c r="F52" s="45" t="n">
        <x:v>2</x:v>
      </x:c>
      <x:c r="G52" s="45" t="inlineStr">
        <x:is>
          <x:t xml:space="preserve">ADA</x:t>
        </x:is>
      </x:c>
      <x:c r="H52" s="45" t="n">
        <x:v>1</x:v>
      </x:c>
      <x:c r="I52" s="30" t="inlineStr">
        <x:is>
          <x:t xml:space="preserve">Recherche d’un paiement</x:t>
        </x:is>
      </x:c>
      <x:c r="J52" s="135" t="n">
        <x:v>0</x:v>
      </x:c>
      <x:c r="K52" s="135" t="n">
        <x:v>15</x:v>
      </x:c>
      <x:c r="L52" s="45" t="n">
        <x:v>1</x:v>
      </x:c>
      <x:c r="M52" s="30" t="inlineStr">
        <x:is>
          <x:t xml:space="preserve">Mode opérationnel</x:t>
        </x:is>
      </x:c>
      <x:c r="N52" s="30" t="inlineStr">
        <x:is>
          <x:t xml:space="preserve">Attente de confirmation</x:t>
        </x:is>
      </x:c>
      <x:c r="O52" s="30" t="str"/>
      <x:c r="P52" s="30" t="str"/>
      <x:c r="Q52" s="30" t="inlineStr">
        <x:is>
          <x:t xml:space="preserve">Lecture publique : ORG en dimension principale et ADA en nuance. Lecture interne : Recherche d’un paiement.</x:t>
        </x:is>
      </x:c>
    </x:row>
    <x:row r="53" ht="36" customHeight="1">
      <x:c r="A53" s="30" t="inlineStr">
        <x:is>
          <x:t xml:space="preserve">Q13A</x:t>
        </x:is>
      </x:c>
      <x:c r="B53" s="30" t="n">
        <x:v>13</x:v>
      </x:c>
      <x:c r="C53" s="30" t="inlineStr">
        <x:is>
          <x:t xml:space="preserve">Avant d’adopter un nouvel outil pour votre entreprise, qu’est-ce qui compte le plus pour vous ?</x:t>
        </x:is>
      </x:c>
      <x:c r="D53" s="30" t="inlineStr">
        <x:is>
          <x:t xml:space="preserve">Je veux savoir s’il peut s’intégrer facilement à mon fonctionnement actuel.</x:t>
        </x:is>
      </x:c>
      <x:c r="E53" s="30" t="inlineStr">
        <x:is>
          <x:t xml:space="preserve">TRA</x:t>
        </x:is>
      </x:c>
      <x:c r="F53" s="45" t="n">
        <x:v>2</x:v>
      </x:c>
      <x:c r="G53" s="45" t="inlineStr">
        <x:is>
          <x:t xml:space="preserve">VIS</x:t>
        </x:is>
      </x:c>
      <x:c r="H53" s="45" t="n">
        <x:v>1</x:v>
      </x:c>
      <x:c r="I53" s="30" t="str"/>
      <x:c r="J53" s="135" t="n"/>
      <x:c r="K53" s="135" t="n">
        <x:v>0</x:v>
      </x:c>
      <x:c r="L53" s="45" t="n">
        <x:v>0</x:v>
      </x:c>
      <x:c r="M53" s="30" t="inlineStr">
        <x:is>
          <x:t xml:space="preserve">Déclencheur d’adoption</x:t>
        </x:is>
      </x:c>
      <x:c r="N53" s="30" t="inlineStr">
        <x:is>
          <x:t xml:space="preserve">Intégration</x:t>
        </x:is>
      </x:c>
      <x:c r="O53" s="30" t="inlineStr">
        <x:is>
          <x:t xml:space="preserve">Disposition au changement</x:t>
        </x:is>
      </x:c>
      <x:c r="P53" s="30" t="inlineStr">
        <x:is>
          <x:t xml:space="preserve">Ouvert sous condition</x:t>
        </x:is>
      </x:c>
      <x:c r="Q53" s="30" t="inlineStr">
        <x:is>
          <x:t xml:space="preserve">Lecture publique : TRA en dimension principale et VIS en nuance. Lecture interne : tag de qualification uniquement.</x:t>
        </x:is>
      </x:c>
    </x:row>
    <x:row r="54" ht="36" customHeight="1">
      <x:c r="A54" s="30" t="inlineStr">
        <x:is>
          <x:t xml:space="preserve">Q13B</x:t>
        </x:is>
      </x:c>
      <x:c r="B54" s="30" t="n">
        <x:v>13</x:v>
      </x:c>
      <x:c r="C54" s="30" t="inlineStr">
        <x:is>
          <x:t xml:space="preserve">Avant d’adopter un nouvel outil pour votre entreprise, qu’est-ce qui compte le plus pour vous ?</x:t>
        </x:is>
      </x:c>
      <x:c r="D54" s="30" t="inlineStr">
        <x:is>
          <x:t xml:space="preserve">Je veux vérifier s’il me permettra de gagner du temps dans le suivi.</x:t>
        </x:is>
      </x:c>
      <x:c r="E54" s="30" t="inlineStr">
        <x:is>
          <x:t xml:space="preserve">EXE</x:t>
        </x:is>
      </x:c>
      <x:c r="F54" s="45" t="n">
        <x:v>2</x:v>
      </x:c>
      <x:c r="G54" s="45" t="inlineStr">
        <x:is>
          <x:t xml:space="preserve">STR</x:t>
        </x:is>
      </x:c>
      <x:c r="H54" s="45" t="n">
        <x:v>1</x:v>
      </x:c>
      <x:c r="I54" s="30" t="str"/>
      <x:c r="J54" s="135" t="n"/>
      <x:c r="K54" s="135" t="n">
        <x:v>0</x:v>
      </x:c>
      <x:c r="L54" s="45" t="n">
        <x:v>0</x:v>
      </x:c>
      <x:c r="M54" s="30" t="inlineStr">
        <x:is>
          <x:t xml:space="preserve">Déclencheur d’adoption</x:t>
        </x:is>
      </x:c>
      <x:c r="N54" s="30" t="inlineStr">
        <x:is>
          <x:t xml:space="preserve">Gain de temps</x:t>
        </x:is>
      </x:c>
      <x:c r="O54" s="30" t="inlineStr">
        <x:is>
          <x:t xml:space="preserve">Disposition au changement</x:t>
        </x:is>
      </x:c>
      <x:c r="P54" s="30" t="inlineStr">
        <x:is>
          <x:t xml:space="preserve">Ouvert sous condition</x:t>
        </x:is>
      </x:c>
      <x:c r="Q54" s="30" t="inlineStr">
        <x:is>
          <x:t xml:space="preserve">Lecture publique : EXE en dimension principale et STR en nuance. Lecture interne : tag de qualification uniquement.</x:t>
        </x:is>
      </x:c>
    </x:row>
    <x:row r="55" ht="36" customHeight="1">
      <x:c r="A55" s="30" t="inlineStr">
        <x:is>
          <x:t xml:space="preserve">Q13C</x:t>
        </x:is>
      </x:c>
      <x:c r="B55" s="30" t="n">
        <x:v>13</x:v>
      </x:c>
      <x:c r="C55" s="30" t="inlineStr">
        <x:is>
          <x:t xml:space="preserve">Avant d’adopter un nouvel outil pour votre entreprise, qu’est-ce qui compte le plus pour vous ?</x:t>
        </x:is>
      </x:c>
      <x:c r="D55" s="30" t="inlineStr">
        <x:is>
          <x:t xml:space="preserve">Je veux m’assurer que mon équipe pourra l’utiliser sans difficulté.</x:t>
        </x:is>
      </x:c>
      <x:c r="E55" s="30" t="inlineStr">
        <x:is>
          <x:t xml:space="preserve">INF</x:t>
        </x:is>
      </x:c>
      <x:c r="F55" s="45" t="n">
        <x:v>2</x:v>
      </x:c>
      <x:c r="G55" s="45" t="inlineStr">
        <x:is>
          <x:t xml:space="preserve">ORG</x:t>
        </x:is>
      </x:c>
      <x:c r="H55" s="45" t="n">
        <x:v>1</x:v>
      </x:c>
      <x:c r="I55" s="30" t="str"/>
      <x:c r="J55" s="135" t="n"/>
      <x:c r="K55" s="135" t="n">
        <x:v>0</x:v>
      </x:c>
      <x:c r="L55" s="45" t="n">
        <x:v>0</x:v>
      </x:c>
      <x:c r="M55" s="30" t="inlineStr">
        <x:is>
          <x:t xml:space="preserve">Déclencheur d’adoption</x:t>
        </x:is>
      </x:c>
      <x:c r="N55" s="30" t="inlineStr">
        <x:is>
          <x:t xml:space="preserve">Facilité pour l’équipe</x:t>
        </x:is>
      </x:c>
      <x:c r="O55" s="30" t="inlineStr">
        <x:is>
          <x:t xml:space="preserve">Disposition au changement</x:t>
        </x:is>
      </x:c>
      <x:c r="P55" s="30" t="inlineStr">
        <x:is>
          <x:t xml:space="preserve">Ouvert sous condition</x:t>
        </x:is>
      </x:c>
      <x:c r="Q55" s="30" t="inlineStr">
        <x:is>
          <x:t xml:space="preserve">Lecture publique : INF en dimension principale et ORG en nuance. Lecture interne : tag de qualification uniquement.</x:t>
        </x:is>
      </x:c>
    </x:row>
    <x:row r="56" ht="36" customHeight="1">
      <x:c r="A56" s="30" t="inlineStr">
        <x:is>
          <x:t xml:space="preserve">Q13D</x:t>
        </x:is>
      </x:c>
      <x:c r="B56" s="30" t="n">
        <x:v>13</x:v>
      </x:c>
      <x:c r="C56" s="30" t="inlineStr">
        <x:is>
          <x:t xml:space="preserve">Avant d’adopter un nouvel outil pour votre entreprise, qu’est-ce qui compte le plus pour vous ?</x:t>
        </x:is>
      </x:c>
      <x:c r="D56" s="30" t="inlineStr">
        <x:is>
          <x:t xml:space="preserve">Je préfère attendre que le besoin devienne vraiment urgent avant de changer.</x:t>
        </x:is>
      </x:c>
      <x:c r="E56" s="30" t="inlineStr">
        <x:is>
          <x:t xml:space="preserve">STR</x:t>
        </x:is>
      </x:c>
      <x:c r="F56" s="45" t="n">
        <x:v>2</x:v>
      </x:c>
      <x:c r="G56" s="45" t="inlineStr">
        <x:is>
          <x:t xml:space="preserve">ORG</x:t>
        </x:is>
      </x:c>
      <x:c r="H56" s="45" t="n">
        <x:v>1</x:v>
      </x:c>
      <x:c r="I56" s="30" t="str"/>
      <x:c r="J56" s="135" t="n"/>
      <x:c r="K56" s="135" t="n">
        <x:v>0</x:v>
      </x:c>
      <x:c r="L56" s="45" t="n">
        <x:v>0</x:v>
      </x:c>
      <x:c r="M56" s="30" t="inlineStr">
        <x:is>
          <x:t xml:space="preserve">Déclencheur d’adoption</x:t>
        </x:is>
      </x:c>
      <x:c r="N56" s="30" t="inlineStr">
        <x:is>
          <x:t xml:space="preserve">Urgence</x:t>
        </x:is>
      </x:c>
      <x:c r="O56" s="30" t="inlineStr">
        <x:is>
          <x:t xml:space="preserve">Disposition au changement</x:t>
        </x:is>
      </x:c>
      <x:c r="P56" s="30" t="inlineStr">
        <x:is>
          <x:t xml:space="preserve">Attentiste</x:t>
        </x:is>
      </x:c>
      <x:c r="Q56" s="30" t="inlineStr">
        <x:is>
          <x:t xml:space="preserve">Lecture publique : STR en dimension principale et ORG en nuance. Lecture interne : tag de qualification uniquement.</x:t>
        </x:is>
      </x:c>
    </x:row>
    <x:row r="57" ht="36" customHeight="1">
      <x:c r="A57" s="30" t="inlineStr">
        <x:is>
          <x:t xml:space="preserve">Q14A</x:t>
        </x:is>
      </x:c>
      <x:c r="B57" s="30" t="n">
        <x:v>14</x:v>
      </x:c>
      <x:c r="C57" s="30" t="inlineStr">
        <x:is>
          <x:t xml:space="preserve">Dans un an, quel progrès vous donnerait le plus le sentiment de mieux piloter votre entreprise ?</x:t>
        </x:is>
      </x:c>
      <x:c r="D57" s="30" t="inlineStr">
        <x:is>
          <x:t xml:space="preserve">Je pourrais connaître l’état de ma trésorerie sans attendre la fin du mois.</x:t>
        </x:is>
      </x:c>
      <x:c r="E57" s="30" t="inlineStr">
        <x:is>
          <x:t xml:space="preserve">VIS</x:t>
        </x:is>
      </x:c>
      <x:c r="F57" s="45" t="n">
        <x:v>2</x:v>
      </x:c>
      <x:c r="G57" s="45" t="inlineStr">
        <x:is>
          <x:t xml:space="preserve">TRA</x:t>
        </x:is>
      </x:c>
      <x:c r="H57" s="45" t="n">
        <x:v>1</x:v>
      </x:c>
      <x:c r="I57" s="30" t="str"/>
      <x:c r="J57" s="135" t="n"/>
      <x:c r="K57" s="135" t="n">
        <x:v>0</x:v>
      </x:c>
      <x:c r="L57" s="45" t="n">
        <x:v>0</x:v>
      </x:c>
      <x:c r="M57" s="30" t="inlineStr">
        <x:is>
          <x:t xml:space="preserve">Besoin prioritaire</x:t>
        </x:is>
      </x:c>
      <x:c r="N57" s="30" t="inlineStr">
        <x:is>
          <x:t xml:space="preserve">Visibilité sur la trésorerie</x:t>
        </x:is>
      </x:c>
      <x:c r="O57" s="30" t="inlineStr">
        <x:is>
          <x:t xml:space="preserve">Produit FeexPay</x:t>
        </x:is>
      </x:c>
      <x:c r="P57" s="30" t="inlineStr">
        <x:is>
          <x:t xml:space="preserve">Dashboard et reporting</x:t>
        </x:is>
      </x:c>
      <x:c r="Q57" s="30" t="inlineStr">
        <x:is>
          <x:t xml:space="preserve">Lecture publique : VIS en dimension principale et TRA en nuance. Lecture interne : tag de qualification uniquement.</x:t>
        </x:is>
      </x:c>
    </x:row>
    <x:row r="58" ht="36" customHeight="1">
      <x:c r="A58" s="30" t="inlineStr">
        <x:is>
          <x:t xml:space="preserve">Q14B</x:t>
        </x:is>
      </x:c>
      <x:c r="B58" s="30" t="n">
        <x:v>14</x:v>
      </x:c>
      <x:c r="C58" s="30" t="inlineStr">
        <x:is>
          <x:t xml:space="preserve">Dans un an, quel progrès vous donnerait le plus le sentiment de mieux piloter votre entreprise ?</x:t>
        </x:is>
      </x:c>
      <x:c r="D58" s="30" t="inlineStr">
        <x:is>
          <x:t xml:space="preserve">Je pourrais retrouver facilement l’origine de chaque mouvement de fonds.</x:t>
        </x:is>
      </x:c>
      <x:c r="E58" s="30" t="inlineStr">
        <x:is>
          <x:t xml:space="preserve">VIS</x:t>
        </x:is>
      </x:c>
      <x:c r="F58" s="45" t="n">
        <x:v>2</x:v>
      </x:c>
      <x:c r="G58" s="45" t="inlineStr">
        <x:is>
          <x:t xml:space="preserve">TRA</x:t>
        </x:is>
      </x:c>
      <x:c r="H58" s="45" t="n">
        <x:v>1</x:v>
      </x:c>
      <x:c r="I58" s="30" t="str"/>
      <x:c r="J58" s="135" t="n"/>
      <x:c r="K58" s="135" t="n">
        <x:v>0</x:v>
      </x:c>
      <x:c r="L58" s="45" t="n">
        <x:v>0</x:v>
      </x:c>
      <x:c r="M58" s="30" t="inlineStr">
        <x:is>
          <x:t xml:space="preserve">Besoin prioritaire</x:t>
        </x:is>
      </x:c>
      <x:c r="N58" s="30" t="inlineStr">
        <x:is>
          <x:t xml:space="preserve">Traçabilité des fonds</x:t>
        </x:is>
      </x:c>
      <x:c r="O58" s="30" t="inlineStr">
        <x:is>
          <x:t xml:space="preserve">Produit FeexPay</x:t>
        </x:is>
      </x:c>
      <x:c r="P58" s="30" t="inlineStr">
        <x:is>
          <x:t xml:space="preserve">Historique et rapprochement</x:t>
        </x:is>
      </x:c>
      <x:c r="Q58" s="30" t="inlineStr">
        <x:is>
          <x:t xml:space="preserve">Lecture publique : VIS en dimension principale et TRA en nuance. Lecture interne : tag de qualification uniquement.</x:t>
        </x:is>
      </x:c>
    </x:row>
    <x:row r="59" ht="36" customHeight="1">
      <x:c r="A59" s="30" t="inlineStr">
        <x:is>
          <x:t xml:space="preserve">Q14C</x:t>
        </x:is>
      </x:c>
      <x:c r="B59" s="30" t="n">
        <x:v>14</x:v>
      </x:c>
      <x:c r="C59" s="30" t="inlineStr">
        <x:is>
          <x:t xml:space="preserve">Dans un an, quel progrès vous donnerait le plus le sentiment de mieux piloter votre entreprise ?</x:t>
        </x:is>
      </x:c>
      <x:c r="D59" s="30" t="inlineStr">
        <x:is>
          <x:t xml:space="preserve">Je pourrais encaisser mes clients sur tous mes canaux de vente.</x:t>
        </x:is>
      </x:c>
      <x:c r="E59" s="30" t="inlineStr">
        <x:is>
          <x:t xml:space="preserve">VIS</x:t>
        </x:is>
      </x:c>
      <x:c r="F59" s="45" t="n">
        <x:v>2</x:v>
      </x:c>
      <x:c r="G59" s="45" t="inlineStr">
        <x:is>
          <x:t xml:space="preserve">AUD</x:t>
        </x:is>
      </x:c>
      <x:c r="H59" s="45" t="n">
        <x:v>1</x:v>
      </x:c>
      <x:c r="I59" s="30" t="str"/>
      <x:c r="J59" s="135" t="n"/>
      <x:c r="K59" s="135" t="n">
        <x:v>0</x:v>
      </x:c>
      <x:c r="L59" s="45" t="n">
        <x:v>0</x:v>
      </x:c>
      <x:c r="M59" s="30" t="inlineStr">
        <x:is>
          <x:t xml:space="preserve">Besoin prioritaire</x:t>
        </x:is>
      </x:c>
      <x:c r="N59" s="30" t="inlineStr">
        <x:is>
          <x:t xml:space="preserve">Encaissement omnicanal</x:t>
        </x:is>
      </x:c>
      <x:c r="O59" s="30" t="inlineStr">
        <x:is>
          <x:t xml:space="preserve">Produit FeexPay</x:t>
        </x:is>
      </x:c>
      <x:c r="P59" s="30" t="inlineStr">
        <x:is>
          <x:t xml:space="preserve">Lien, QR et intégration</x:t>
        </x:is>
      </x:c>
      <x:c r="Q59" s="30" t="inlineStr">
        <x:is>
          <x:t xml:space="preserve">Lecture publique : VIS en dimension principale et AUD en nuance. Lecture interne : tag de qualification uniquement.</x:t>
        </x:is>
      </x:c>
    </x:row>
    <x:row r="60" ht="36" customHeight="1">
      <x:c r="A60" s="31" t="inlineStr">
        <x:is>
          <x:t xml:space="preserve">Q14D</x:t>
        </x:is>
      </x:c>
      <x:c r="B60" s="31" t="n">
        <x:v>14</x:v>
      </x:c>
      <x:c r="C60" s="31" t="inlineStr">
        <x:is>
          <x:t xml:space="preserve">Dans un an, quel progrès vous donnerait le plus le sentiment de mieux piloter votre entreprise ?</x:t>
        </x:is>
      </x:c>
      <x:c r="D60" s="31" t="inlineStr">
        <x:is>
          <x:t xml:space="preserve">Je pourrais déléguer davantage sans perdre le contrôle de mon activité.</x:t>
        </x:is>
      </x:c>
      <x:c r="E60" s="31" t="inlineStr">
        <x:is>
          <x:t xml:space="preserve">VIS</x:t>
        </x:is>
      </x:c>
      <x:c r="F60" s="46" t="n">
        <x:v>2</x:v>
      </x:c>
      <x:c r="G60" s="46" t="inlineStr">
        <x:is>
          <x:t xml:space="preserve">INF</x:t>
        </x:is>
      </x:c>
      <x:c r="H60" s="46" t="n">
        <x:v>1</x:v>
      </x:c>
      <x:c r="I60" s="31" t="str"/>
      <x:c r="J60" s="136" t="n"/>
      <x:c r="K60" s="136" t="n">
        <x:v>0</x:v>
      </x:c>
      <x:c r="L60" s="46" t="n">
        <x:v>0</x:v>
      </x:c>
      <x:c r="M60" s="31" t="inlineStr">
        <x:is>
          <x:t xml:space="preserve">Besoin prioritaire</x:t>
        </x:is>
      </x:c>
      <x:c r="N60" s="31" t="inlineStr">
        <x:is>
          <x:t xml:space="preserve">Délégation et contrôle</x:t>
        </x:is>
      </x:c>
      <x:c r="O60" s="31" t="inlineStr">
        <x:is>
          <x:t xml:space="preserve">Produit FeexPay</x:t>
        </x:is>
      </x:c>
      <x:c r="P60" s="31" t="inlineStr">
        <x:is>
          <x:t xml:space="preserve">Gestion des collaborateurs</x:t>
        </x:is>
      </x:c>
      <x:c r="Q60" s="31" t="inlineStr">
        <x:is>
          <x:t xml:space="preserve">Lecture publique : VIS en dimension principale et INF en nuance. Lecture interne : tag de qualification uniquement.</x:t>
        </x:is>
      </x:c>
    </x:row>
  </x:sheetData>
  <x:mergeCells>
    <x:mergeCell ref="A1:Q1"/>
    <x:mergeCell ref="A2:Q3"/>
  </x:mergeCells>
  <x:pageMargins left="0.7" right="0.7" top="0.75" bottom="0.75" header="0.3" footer="0.3"/>
  <x:tableParts count="1">
    <x:tablePart xmlns:r="http://schemas.openxmlformats.org/officeDocument/2006/relationships" r:id="Rbf4fb51632f347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.440000057220459" customWidth="1"/>
    <x:col min="2" max="2" width="4.670000076293945" customWidth="1"/>
    <x:col min="3" max="3" width="32.220001220703125" customWidth="1"/>
    <x:col min="4" max="4" width="36.66999816894531" customWidth="1"/>
    <x:col min="5" max="5" width="20" customWidth="1"/>
    <x:col min="6" max="6" width="8.220000267028809" customWidth="1"/>
    <x:col min="7" max="7" width="8.220000267028809" customWidth="1"/>
    <x:col min="8" max="8" width="18.329999923706055" customWidth="1"/>
    <x:col min="9" max="9" width="18.329999923706055" customWidth="1"/>
    <x:col min="10" max="10" width="33.33000183105469" customWidth="1"/>
  </x:cols>
  <x:sheetData>
    <x:row r="1" ht="31.5" customHeight="1">
      <x:c r="A1" s="3" t="inlineStr">
        <x:is>
          <x:t xml:space="preserve">Parcours Rayonnement — matrice option par option</x:t>
        </x:is>
      </x:c>
    </x:row>
    <x:row r="2">
      <x:c r="A2" s="7" t="inlineStr">
        <x:is>
          <x:t xml:space="preserve">Six questions progressives scorées de 0 à 3. La question 3 identifie la nature de la différenciation et ne crée aucune hiérarchie entre les réponses.</x:t>
        </x:is>
      </x:c>
    </x:row>
    <x:row r="3"/>
    <x:row r="4" ht="39" customHeight="1">
      <x:c r="A4" s="19" t="inlineStr">
        <x:is>
          <x:t xml:space="preserve">Code</x:t>
        </x:is>
      </x:c>
      <x:c r="B4" s="20" t="inlineStr">
        <x:is>
          <x:t xml:space="preserve">N°</x:t>
        </x:is>
      </x:c>
      <x:c r="C4" s="20" t="inlineStr">
        <x:is>
          <x:t xml:space="preserve">Question validée</x:t>
        </x:is>
      </x:c>
      <x:c r="D4" s="20" t="inlineStr">
        <x:is>
          <x:t xml:space="preserve">Option validée</x:t>
        </x:is>
      </x:c>
      <x:c r="E4" s="20" t="inlineStr">
        <x:is>
          <x:t xml:space="preserve">Dimension</x:t>
        </x:is>
      </x:c>
      <x:c r="F4" s="20" t="inlineStr">
        <x:is>
          <x:t xml:space="preserve">Points</x:t>
        </x:is>
      </x:c>
      <x:c r="G4" s="20" t="inlineStr">
        <x:is>
          <x:t xml:space="preserve">Maximum</x:t>
        </x:is>
      </x:c>
      <x:c r="H4" s="20" t="inlineStr">
        <x:is>
          <x:t xml:space="preserve">Tag</x:t>
        </x:is>
      </x:c>
      <x:c r="I4" s="20" t="inlineStr">
        <x:is>
          <x:t xml:space="preserve">Valeur</x:t>
        </x:is>
      </x:c>
      <x:c r="J4" s="21" t="inlineStr">
        <x:is>
          <x:t xml:space="preserve">Règle d’interprétation</x:t>
        </x:is>
      </x:c>
    </x:row>
    <x:row r="5" ht="39" customHeight="1">
      <x:c r="A5" s="29" t="inlineStr">
        <x:is>
          <x:t xml:space="preserve">R1A</x:t>
        </x:is>
      </x:c>
      <x:c r="B5" s="29" t="n">
        <x:v>1</x:v>
      </x:c>
      <x:c r="C5" s="29" t="inlineStr">
        <x:is>
          <x:t xml:space="preserve">En dehors de vos clients actuels, jusqu’où votre entreprise est-elle connue ?</x:t>
        </x:is>
      </x:c>
      <x:c r="D5" s="29" t="inlineStr">
        <x:is>
          <x:t xml:space="preserve">Elle est principalement connue par mon entourage et mes contacts directs.</x:t>
        </x:is>
      </x:c>
      <x:c r="E5" s="29" t="inlineStr">
        <x:is>
          <x:t xml:space="preserve">Notoriété</x:t>
        </x:is>
      </x:c>
      <x:c r="F5" s="44" t="n">
        <x:v>0</x:v>
      </x:c>
      <x:c r="G5" s="44" t="n">
        <x:v>3</x:v>
      </x:c>
      <x:c r="H5" s="29" t="inlineStr">
        <x:is>
          <x:t xml:space="preserve">Niveau déclaré</x:t>
        </x:is>
      </x:c>
      <x:c r="I5" s="29" t="inlineStr">
        <x:is>
          <x:t xml:space="preserve">Faible</x:t>
        </x:is>
      </x:c>
      <x:c r="J5" s="29" t="inlineStr">
        <x:is>
          <x:t xml:space="preserve">Échelle progressive 0/3.</x:t>
        </x:is>
      </x:c>
    </x:row>
    <x:row r="6" ht="39" customHeight="1">
      <x:c r="A6" s="30" t="inlineStr">
        <x:is>
          <x:t xml:space="preserve">R1B</x:t>
        </x:is>
      </x:c>
      <x:c r="B6" s="30" t="n">
        <x:v>1</x:v>
      </x:c>
      <x:c r="C6" s="30" t="inlineStr">
        <x:is>
          <x:t xml:space="preserve">En dehors de vos clients actuels, jusqu’où votre entreprise est-elle connue ?</x:t>
        </x:is>
      </x:c>
      <x:c r="D6" s="30" t="inlineStr">
        <x:is>
          <x:t xml:space="preserve">Elle commence à être connue par des personnes situées dans ma zone.</x:t>
        </x:is>
      </x:c>
      <x:c r="E6" s="30" t="inlineStr">
        <x:is>
          <x:t xml:space="preserve">Notoriété</x:t>
        </x:is>
      </x:c>
      <x:c r="F6" s="45" t="n">
        <x:v>1</x:v>
      </x:c>
      <x:c r="G6" s="45" t="n">
        <x:v>3</x:v>
      </x:c>
      <x:c r="H6" s="30" t="inlineStr">
        <x:is>
          <x:t xml:space="preserve">Niveau déclaré</x:t>
        </x:is>
      </x:c>
      <x:c r="I6" s="30" t="inlineStr">
        <x:is>
          <x:t xml:space="preserve">Émergent</x:t>
        </x:is>
      </x:c>
      <x:c r="J6" s="30" t="inlineStr">
        <x:is>
          <x:t xml:space="preserve">Échelle progressive 1/3.</x:t>
        </x:is>
      </x:c>
    </x:row>
    <x:row r="7" ht="39" customHeight="1">
      <x:c r="A7" s="30" t="inlineStr">
        <x:is>
          <x:t xml:space="preserve">R1C</x:t>
        </x:is>
      </x:c>
      <x:c r="B7" s="30" t="n">
        <x:v>1</x:v>
      </x:c>
      <x:c r="C7" s="30" t="inlineStr">
        <x:is>
          <x:t xml:space="preserve">En dehors de vos clients actuels, jusqu’où votre entreprise est-elle connue ?</x:t>
        </x:is>
      </x:c>
      <x:c r="D7" s="30" t="inlineStr">
        <x:is>
          <x:t xml:space="preserve">Elle est régulièrement identifiée par des prospects de mon secteur.</x:t>
        </x:is>
      </x:c>
      <x:c r="E7" s="30" t="inlineStr">
        <x:is>
          <x:t xml:space="preserve">Notoriété</x:t>
        </x:is>
      </x:c>
      <x:c r="F7" s="45" t="n">
        <x:v>2</x:v>
      </x:c>
      <x:c r="G7" s="45" t="n">
        <x:v>3</x:v>
      </x:c>
      <x:c r="H7" s="30" t="inlineStr">
        <x:is>
          <x:t xml:space="preserve">Niveau déclaré</x:t>
        </x:is>
      </x:c>
      <x:c r="I7" s="30" t="inlineStr">
        <x:is>
          <x:t xml:space="preserve">Installé</x:t>
        </x:is>
      </x:c>
      <x:c r="J7" s="30" t="inlineStr">
        <x:is>
          <x:t xml:space="preserve">Échelle progressive 2/3.</x:t>
        </x:is>
      </x:c>
    </x:row>
    <x:row r="8" ht="39" customHeight="1">
      <x:c r="A8" s="30" t="inlineStr">
        <x:is>
          <x:t xml:space="preserve">R1D</x:t>
        </x:is>
      </x:c>
      <x:c r="B8" s="30" t="n">
        <x:v>1</x:v>
      </x:c>
      <x:c r="C8" s="30" t="inlineStr">
        <x:is>
          <x:t xml:space="preserve">En dehors de vos clients actuels, jusqu’où votre entreprise est-elle connue ?</x:t>
        </x:is>
      </x:c>
      <x:c r="D8" s="30" t="inlineStr">
        <x:is>
          <x:t xml:space="preserve">Elle est reconnue par une partie importante du marché que je vise.</x:t>
        </x:is>
      </x:c>
      <x:c r="E8" s="30" t="inlineStr">
        <x:is>
          <x:t xml:space="preserve">Notoriété</x:t>
        </x:is>
      </x:c>
      <x:c r="F8" s="45" t="n">
        <x:v>3</x:v>
      </x:c>
      <x:c r="G8" s="45" t="n">
        <x:v>3</x:v>
      </x:c>
      <x:c r="H8" s="30" t="inlineStr">
        <x:is>
          <x:t xml:space="preserve">Niveau déclaré</x:t>
        </x:is>
      </x:c>
      <x:c r="I8" s="30" t="inlineStr">
        <x:is>
          <x:t xml:space="preserve">Fort</x:t>
        </x:is>
      </x:c>
      <x:c r="J8" s="30" t="inlineStr">
        <x:is>
          <x:t xml:space="preserve">Échelle progressive 3/3.</x:t>
        </x:is>
      </x:c>
    </x:row>
    <x:row r="9" ht="39" customHeight="1">
      <x:c r="A9" s="30" t="inlineStr">
        <x:is>
          <x:t xml:space="preserve">R2A</x:t>
        </x:is>
      </x:c>
      <x:c r="B9" s="30" t="n">
        <x:v>2</x:v>
      </x:c>
      <x:c r="C9" s="30" t="inlineStr">
        <x:is>
          <x:t xml:space="preserve">Lorsqu’un prospect choisit un concurrent, savez-vous généralement pourquoi ?</x:t>
        </x:is>
      </x:c>
      <x:c r="D9" s="30" t="inlineStr">
        <x:is>
          <x:t xml:space="preserve">Je reçois rarement des informations sur les raisons de son choix.</x:t>
        </x:is>
      </x:c>
      <x:c r="E9" s="30" t="inlineStr">
        <x:is>
          <x:t xml:space="preserve">Lecture concurrentielle</x:t>
        </x:is>
      </x:c>
      <x:c r="F9" s="45" t="n">
        <x:v>0</x:v>
      </x:c>
      <x:c r="G9" s="45" t="n">
        <x:v>3</x:v>
      </x:c>
      <x:c r="H9" s="30" t="inlineStr">
        <x:is>
          <x:t xml:space="preserve">Niveau déclaré</x:t>
        </x:is>
      </x:c>
      <x:c r="I9" s="30" t="inlineStr">
        <x:is>
          <x:t xml:space="preserve">Faible</x:t>
        </x:is>
      </x:c>
      <x:c r="J9" s="30" t="inlineStr">
        <x:is>
          <x:t xml:space="preserve">Échelle progressive 0/3.</x:t>
        </x:is>
      </x:c>
    </x:row>
    <x:row r="10" ht="39" customHeight="1">
      <x:c r="A10" s="30" t="inlineStr">
        <x:is>
          <x:t xml:space="preserve">R2B</x:t>
        </x:is>
      </x:c>
      <x:c r="B10" s="30" t="n">
        <x:v>2</x:v>
      </x:c>
      <x:c r="C10" s="30" t="inlineStr">
        <x:is>
          <x:t xml:space="preserve">Lorsqu’un prospect choisit un concurrent, savez-vous généralement pourquoi ?</x:t>
        </x:is>
      </x:c>
      <x:c r="D10" s="30" t="inlineStr">
        <x:is>
          <x:t xml:space="preserve">J’essaie de comprendre sa décision à partir de ce que j’observe.</x:t>
        </x:is>
      </x:c>
      <x:c r="E10" s="30" t="inlineStr">
        <x:is>
          <x:t xml:space="preserve">Lecture concurrentielle</x:t>
        </x:is>
      </x:c>
      <x:c r="F10" s="45" t="n">
        <x:v>1</x:v>
      </x:c>
      <x:c r="G10" s="45" t="n">
        <x:v>3</x:v>
      </x:c>
      <x:c r="H10" s="30" t="inlineStr">
        <x:is>
          <x:t xml:space="preserve">Niveau déclaré</x:t>
        </x:is>
      </x:c>
      <x:c r="I10" s="30" t="inlineStr">
        <x:is>
          <x:t xml:space="preserve">Émergent</x:t>
        </x:is>
      </x:c>
      <x:c r="J10" s="30" t="inlineStr">
        <x:is>
          <x:t xml:space="preserve">Échelle progressive 1/3.</x:t>
        </x:is>
      </x:c>
    </x:row>
    <x:row r="11" ht="39" customHeight="1">
      <x:c r="A11" s="30" t="inlineStr">
        <x:is>
          <x:t xml:space="preserve">R2C</x:t>
        </x:is>
      </x:c>
      <x:c r="B11" s="30" t="n">
        <x:v>2</x:v>
      </x:c>
      <x:c r="C11" s="30" t="inlineStr">
        <x:is>
          <x:t xml:space="preserve">Lorsqu’un prospect choisit un concurrent, savez-vous généralement pourquoi ?</x:t>
        </x:is>
      </x:c>
      <x:c r="D11" s="30" t="inlineStr">
        <x:is>
          <x:t xml:space="preserve">Il m’arrive de lui demander ce qui a motivé son choix.</x:t>
        </x:is>
      </x:c>
      <x:c r="E11" s="30" t="inlineStr">
        <x:is>
          <x:t xml:space="preserve">Lecture concurrentielle</x:t>
        </x:is>
      </x:c>
      <x:c r="F11" s="45" t="n">
        <x:v>2</x:v>
      </x:c>
      <x:c r="G11" s="45" t="n">
        <x:v>3</x:v>
      </x:c>
      <x:c r="H11" s="30" t="inlineStr">
        <x:is>
          <x:t xml:space="preserve">Niveau déclaré</x:t>
        </x:is>
      </x:c>
      <x:c r="I11" s="30" t="inlineStr">
        <x:is>
          <x:t xml:space="preserve">Installé</x:t>
        </x:is>
      </x:c>
      <x:c r="J11" s="30" t="inlineStr">
        <x:is>
          <x:t xml:space="preserve">Échelle progressive 2/3.</x:t>
        </x:is>
      </x:c>
    </x:row>
    <x:row r="12" ht="39" customHeight="1">
      <x:c r="A12" s="30" t="inlineStr">
        <x:is>
          <x:t xml:space="preserve">R2D</x:t>
        </x:is>
      </x:c>
      <x:c r="B12" s="30" t="n">
        <x:v>2</x:v>
      </x:c>
      <x:c r="C12" s="30" t="inlineStr">
        <x:is>
          <x:t xml:space="preserve">Lorsqu’un prospect choisit un concurrent, savez-vous généralement pourquoi ?</x:t>
        </x:is>
      </x:c>
      <x:c r="D12" s="30" t="inlineStr">
        <x:is>
          <x:t xml:space="preserve">Je recueille régulièrement ces raisons pour mieux comprendre mon marché.</x:t>
        </x:is>
      </x:c>
      <x:c r="E12" s="30" t="inlineStr">
        <x:is>
          <x:t xml:space="preserve">Lecture concurrentielle</x:t>
        </x:is>
      </x:c>
      <x:c r="F12" s="45" t="n">
        <x:v>3</x:v>
      </x:c>
      <x:c r="G12" s="45" t="n">
        <x:v>3</x:v>
      </x:c>
      <x:c r="H12" s="30" t="inlineStr">
        <x:is>
          <x:t xml:space="preserve">Niveau déclaré</x:t>
        </x:is>
      </x:c>
      <x:c r="I12" s="30" t="inlineStr">
        <x:is>
          <x:t xml:space="preserve">Fort</x:t>
        </x:is>
      </x:c>
      <x:c r="J12" s="30" t="inlineStr">
        <x:is>
          <x:t xml:space="preserve">Échelle progressive 3/3.</x:t>
        </x:is>
      </x:c>
    </x:row>
    <x:row r="13" ht="39" customHeight="1">
      <x:c r="A13" s="30" t="inlineStr">
        <x:is>
          <x:t xml:space="preserve">R3A</x:t>
        </x:is>
      </x:c>
      <x:c r="B13" s="30" t="n">
        <x:v>3</x:v>
      </x:c>
      <x:c r="C13" s="30" t="inlineStr">
        <x:is>
          <x:t xml:space="preserve">Pour quelle raison vos clients vous choisissent-ils principalement ?</x:t>
        </x:is>
      </x:c>
      <x:c r="D13" s="30" t="inlineStr">
        <x:is>
          <x:t xml:space="preserve">Ils viennent souvent vers moi parce que mes prix leur conviennent.</x:t>
        </x:is>
      </x:c>
      <x:c r="E13" s="30" t="inlineStr">
        <x:is>
          <x:t xml:space="preserve">Tag de différenciation</x:t>
        </x:is>
      </x:c>
      <x:c r="F13" s="45" t="n"/>
      <x:c r="G13" s="45" t="n">
        <x:v>3</x:v>
      </x:c>
      <x:c r="H13" s="30" t="inlineStr">
        <x:is>
          <x:t xml:space="preserve">Nature de la différenciation</x:t>
        </x:is>
      </x:c>
      <x:c r="I13" s="30" t="inlineStr">
        <x:is>
          <x:t xml:space="preserve">Prix</x:t>
        </x:is>
      </x:c>
      <x:c r="J13" s="30" t="inlineStr">
        <x:is>
          <x:t xml:space="preserve">Tag uniquement : aucune hiérarchie entre prix, proximité, qualité et avantage distinctif.</x:t>
        </x:is>
      </x:c>
    </x:row>
    <x:row r="14" ht="39" customHeight="1">
      <x:c r="A14" s="30" t="inlineStr">
        <x:is>
          <x:t xml:space="preserve">R3B</x:t>
        </x:is>
      </x:c>
      <x:c r="B14" s="30" t="n">
        <x:v>3</x:v>
      </x:c>
      <x:c r="C14" s="30" t="inlineStr">
        <x:is>
          <x:t xml:space="preserve">Pour quelle raison vos clients vous choisissent-ils principalement ?</x:t>
        </x:is>
      </x:c>
      <x:c r="D14" s="30" t="inlineStr">
        <x:is>
          <x:t xml:space="preserve">Ils me choisissent parce que je suis proche d’eux et facilement accessible.</x:t>
        </x:is>
      </x:c>
      <x:c r="E14" s="30" t="inlineStr">
        <x:is>
          <x:t xml:space="preserve">Tag de différenciation</x:t>
        </x:is>
      </x:c>
      <x:c r="F14" s="45" t="n"/>
      <x:c r="G14" s="45" t="n">
        <x:v>3</x:v>
      </x:c>
      <x:c r="H14" s="30" t="inlineStr">
        <x:is>
          <x:t xml:space="preserve">Nature de la différenciation</x:t>
        </x:is>
      </x:c>
      <x:c r="I14" s="30" t="inlineStr">
        <x:is>
          <x:t xml:space="preserve">Proximité</x:t>
        </x:is>
      </x:c>
      <x:c r="J14" s="30" t="inlineStr">
        <x:is>
          <x:t xml:space="preserve">Tag uniquement : aucune hiérarchie entre prix, proximité, qualité et avantage distinctif.</x:t>
        </x:is>
      </x:c>
    </x:row>
    <x:row r="15" ht="39" customHeight="1">
      <x:c r="A15" s="30" t="inlineStr">
        <x:is>
          <x:t xml:space="preserve">R3C</x:t>
        </x:is>
      </x:c>
      <x:c r="B15" s="30" t="n">
        <x:v>3</x:v>
      </x:c>
      <x:c r="C15" s="30" t="inlineStr">
        <x:is>
          <x:t xml:space="preserve">Pour quelle raison vos clients vous choisissent-ils principalement ?</x:t>
        </x:is>
      </x:c>
      <x:c r="D15" s="30" t="inlineStr">
        <x:is>
          <x:t xml:space="preserve">Ils reviennent parce qu’ils font confiance à la qualité de ce que je propose.</x:t>
        </x:is>
      </x:c>
      <x:c r="E15" s="30" t="inlineStr">
        <x:is>
          <x:t xml:space="preserve">Tag de différenciation</x:t>
        </x:is>
      </x:c>
      <x:c r="F15" s="45" t="n"/>
      <x:c r="G15" s="45" t="n">
        <x:v>3</x:v>
      </x:c>
      <x:c r="H15" s="30" t="inlineStr">
        <x:is>
          <x:t xml:space="preserve">Nature de la différenciation</x:t>
        </x:is>
      </x:c>
      <x:c r="I15" s="30" t="inlineStr">
        <x:is>
          <x:t xml:space="preserve">Qualité</x:t>
        </x:is>
      </x:c>
      <x:c r="J15" s="30" t="inlineStr">
        <x:is>
          <x:t xml:space="preserve">Tag uniquement : aucune hiérarchie entre prix, proximité, qualité et avantage distinctif.</x:t>
        </x:is>
      </x:c>
    </x:row>
    <x:row r="16" ht="39" customHeight="1">
      <x:c r="A16" s="30" t="inlineStr">
        <x:is>
          <x:t xml:space="preserve">R3D</x:t>
        </x:is>
      </x:c>
      <x:c r="B16" s="30" t="n">
        <x:v>3</x:v>
      </x:c>
      <x:c r="C16" s="30" t="inlineStr">
        <x:is>
          <x:t xml:space="preserve">Pour quelle raison vos clients vous choisissent-ils principalement ?</x:t>
        </x:is>
      </x:c>
      <x:c r="D16" s="30" t="inlineStr">
        <x:is>
          <x:t xml:space="preserve">Ils trouvent chez moi un avantage qu’ils retrouvent difficilement ailleurs.</x:t>
        </x:is>
      </x:c>
      <x:c r="E16" s="30" t="inlineStr">
        <x:is>
          <x:t xml:space="preserve">Tag de différenciation</x:t>
        </x:is>
      </x:c>
      <x:c r="F16" s="45" t="n"/>
      <x:c r="G16" s="45" t="n">
        <x:v>3</x:v>
      </x:c>
      <x:c r="H16" s="30" t="inlineStr">
        <x:is>
          <x:t xml:space="preserve">Nature de la différenciation</x:t>
        </x:is>
      </x:c>
      <x:c r="I16" s="30" t="inlineStr">
        <x:is>
          <x:t xml:space="preserve">Avantage distinctif</x:t>
        </x:is>
      </x:c>
      <x:c r="J16" s="30" t="inlineStr">
        <x:is>
          <x:t xml:space="preserve">Tag uniquement : aucune hiérarchie entre prix, proximité, qualité et avantage distinctif.</x:t>
        </x:is>
      </x:c>
    </x:row>
    <x:row r="17" ht="39" customHeight="1">
      <x:c r="A17" s="30" t="inlineStr">
        <x:is>
          <x:t xml:space="preserve">R4A</x:t>
        </x:is>
      </x:c>
      <x:c r="B17" s="30" t="n">
        <x:v>4</x:v>
      </x:c>
      <x:c r="C17" s="30" t="inlineStr">
        <x:is>
          <x:t xml:space="preserve">Une personne qui découvre votre entreprise comprend-elle facilement ce qui vous distingue ?</x:t>
        </x:is>
      </x:c>
      <x:c r="D17" s="30" t="inlineStr">
        <x:is>
          <x:t xml:space="preserve">Je ne saurais pas encore expliquer clairement ce qui me différencie.</x:t>
        </x:is>
      </x:c>
      <x:c r="E17" s="30" t="inlineStr">
        <x:is>
          <x:t xml:space="preserve">Différenciation</x:t>
        </x:is>
      </x:c>
      <x:c r="F17" s="45" t="n">
        <x:v>0</x:v>
      </x:c>
      <x:c r="G17" s="45" t="n">
        <x:v>3</x:v>
      </x:c>
      <x:c r="H17" s="30" t="inlineStr">
        <x:is>
          <x:t xml:space="preserve">Niveau déclaré</x:t>
        </x:is>
      </x:c>
      <x:c r="I17" s="30" t="inlineStr">
        <x:is>
          <x:t xml:space="preserve">Faible</x:t>
        </x:is>
      </x:c>
      <x:c r="J17" s="30" t="inlineStr">
        <x:is>
          <x:t xml:space="preserve">Échelle progressive 0/3.</x:t>
        </x:is>
      </x:c>
    </x:row>
    <x:row r="18" ht="39" customHeight="1">
      <x:c r="A18" s="30" t="inlineStr">
        <x:is>
          <x:t xml:space="preserve">R4B</x:t>
        </x:is>
      </x:c>
      <x:c r="B18" s="30" t="n">
        <x:v>4</x:v>
      </x:c>
      <x:c r="C18" s="30" t="inlineStr">
        <x:is>
          <x:t xml:space="preserve">Une personne qui découvre votre entreprise comprend-elle facilement ce qui vous distingue ?</x:t>
        </x:is>
      </x:c>
      <x:c r="D18" s="30" t="inlineStr">
        <x:is>
          <x:t xml:space="preserve">J’arrive à l’expliquer lorsque je présente personnellement mon activité.</x:t>
        </x:is>
      </x:c>
      <x:c r="E18" s="30" t="inlineStr">
        <x:is>
          <x:t xml:space="preserve">Différenciation</x:t>
        </x:is>
      </x:c>
      <x:c r="F18" s="45" t="n">
        <x:v>1</x:v>
      </x:c>
      <x:c r="G18" s="45" t="n">
        <x:v>3</x:v>
      </x:c>
      <x:c r="H18" s="30" t="inlineStr">
        <x:is>
          <x:t xml:space="preserve">Niveau déclaré</x:t>
        </x:is>
      </x:c>
      <x:c r="I18" s="30" t="inlineStr">
        <x:is>
          <x:t xml:space="preserve">Émergent</x:t>
        </x:is>
      </x:c>
      <x:c r="J18" s="30" t="inlineStr">
        <x:is>
          <x:t xml:space="preserve">Échelle progressive 1/3.</x:t>
        </x:is>
      </x:c>
    </x:row>
    <x:row r="19" ht="39" customHeight="1">
      <x:c r="A19" s="30" t="inlineStr">
        <x:is>
          <x:t xml:space="preserve">R4C</x:t>
        </x:is>
      </x:c>
      <x:c r="B19" s="30" t="n">
        <x:v>4</x:v>
      </x:c>
      <x:c r="C19" s="30" t="inlineStr">
        <x:is>
          <x:t xml:space="preserve">Une personne qui découvre votre entreprise comprend-elle facilement ce qui vous distingue ?</x:t>
        </x:is>
      </x:c>
      <x:c r="D19" s="30" t="inlineStr">
        <x:is>
          <x:t xml:space="preserve">Ma différence apparaît déjà dans mes offres et ma communication.</x:t>
        </x:is>
      </x:c>
      <x:c r="E19" s="30" t="inlineStr">
        <x:is>
          <x:t xml:space="preserve">Différenciation</x:t>
        </x:is>
      </x:c>
      <x:c r="F19" s="45" t="n">
        <x:v>2</x:v>
      </x:c>
      <x:c r="G19" s="45" t="n">
        <x:v>3</x:v>
      </x:c>
      <x:c r="H19" s="30" t="inlineStr">
        <x:is>
          <x:t xml:space="preserve">Niveau déclaré</x:t>
        </x:is>
      </x:c>
      <x:c r="I19" s="30" t="inlineStr">
        <x:is>
          <x:t xml:space="preserve">Installé</x:t>
        </x:is>
      </x:c>
      <x:c r="J19" s="30" t="inlineStr">
        <x:is>
          <x:t xml:space="preserve">Échelle progressive 2/3.</x:t>
        </x:is>
      </x:c>
    </x:row>
    <x:row r="20" ht="39" customHeight="1">
      <x:c r="A20" s="30" t="inlineStr">
        <x:is>
          <x:t xml:space="preserve">R4D</x:t>
        </x:is>
      </x:c>
      <x:c r="B20" s="30" t="n">
        <x:v>4</x:v>
      </x:c>
      <x:c r="C20" s="30" t="inlineStr">
        <x:is>
          <x:t xml:space="preserve">Une personne qui découvre votre entreprise comprend-elle facilement ce qui vous distingue ?</x:t>
        </x:is>
      </x:c>
      <x:c r="D20" s="30" t="inlineStr">
        <x:is>
          <x:t xml:space="preserve">Mes clients citent spontanément ce qui rend mon entreprise particulière.</x:t>
        </x:is>
      </x:c>
      <x:c r="E20" s="30" t="inlineStr">
        <x:is>
          <x:t xml:space="preserve">Différenciation</x:t>
        </x:is>
      </x:c>
      <x:c r="F20" s="45" t="n">
        <x:v>3</x:v>
      </x:c>
      <x:c r="G20" s="45" t="n">
        <x:v>3</x:v>
      </x:c>
      <x:c r="H20" s="30" t="inlineStr">
        <x:is>
          <x:t xml:space="preserve">Niveau déclaré</x:t>
        </x:is>
      </x:c>
      <x:c r="I20" s="30" t="inlineStr">
        <x:is>
          <x:t xml:space="preserve">Fort</x:t>
        </x:is>
      </x:c>
      <x:c r="J20" s="30" t="inlineStr">
        <x:is>
          <x:t xml:space="preserve">Échelle progressive 3/3.</x:t>
        </x:is>
      </x:c>
    </x:row>
    <x:row r="21" ht="39" customHeight="1">
      <x:c r="A21" s="30" t="inlineStr">
        <x:is>
          <x:t xml:space="preserve">R5A</x:t>
        </x:is>
      </x:c>
      <x:c r="B21" s="30" t="n">
        <x:v>5</x:v>
      </x:c>
      <x:c r="C21" s="30" t="inlineStr">
        <x:is>
          <x:t xml:space="preserve">Comment votre entreprise est-elle actuellement présente sur les canaux numériques ?</x:t>
        </x:is>
      </x:c>
      <x:c r="D21" s="30" t="inlineStr">
        <x:is>
          <x:t xml:space="preserve">Mon entreprise y est peu présente ou ne dispose pas encore de page active.</x:t>
        </x:is>
      </x:c>
      <x:c r="E21" s="30" t="inlineStr">
        <x:is>
          <x:t xml:space="preserve">Présence digitale</x:t>
        </x:is>
      </x:c>
      <x:c r="F21" s="45" t="n">
        <x:v>0</x:v>
      </x:c>
      <x:c r="G21" s="45" t="n">
        <x:v>3</x:v>
      </x:c>
      <x:c r="H21" s="30" t="inlineStr">
        <x:is>
          <x:t xml:space="preserve">Niveau déclaré</x:t>
        </x:is>
      </x:c>
      <x:c r="I21" s="30" t="inlineStr">
        <x:is>
          <x:t xml:space="preserve">Faible</x:t>
        </x:is>
      </x:c>
      <x:c r="J21" s="30" t="inlineStr">
        <x:is>
          <x:t xml:space="preserve">Échelle progressive 0/3.</x:t>
        </x:is>
      </x:c>
    </x:row>
    <x:row r="22" ht="39" customHeight="1">
      <x:c r="A22" s="30" t="inlineStr">
        <x:is>
          <x:t xml:space="preserve">R5B</x:t>
        </x:is>
      </x:c>
      <x:c r="B22" s="30" t="n">
        <x:v>5</x:v>
      </x:c>
      <x:c r="C22" s="30" t="inlineStr">
        <x:is>
          <x:t xml:space="preserve">Comment votre entreprise est-elle actuellement présente sur les canaux numériques ?</x:t>
        </x:is>
      </x:c>
      <x:c r="D22" s="30" t="inlineStr">
        <x:is>
          <x:t xml:space="preserve">Je publie principalement lorsque j’ai une actualité ou du temps disponible.</x:t>
        </x:is>
      </x:c>
      <x:c r="E22" s="30" t="inlineStr">
        <x:is>
          <x:t xml:space="preserve">Présence digitale</x:t>
        </x:is>
      </x:c>
      <x:c r="F22" s="45" t="n">
        <x:v>1</x:v>
      </x:c>
      <x:c r="G22" s="45" t="n">
        <x:v>3</x:v>
      </x:c>
      <x:c r="H22" s="30" t="inlineStr">
        <x:is>
          <x:t xml:space="preserve">Niveau déclaré</x:t>
        </x:is>
      </x:c>
      <x:c r="I22" s="30" t="inlineStr">
        <x:is>
          <x:t xml:space="preserve">Émergent</x:t>
        </x:is>
      </x:c>
      <x:c r="J22" s="30" t="inlineStr">
        <x:is>
          <x:t xml:space="preserve">Échelle progressive 1/3.</x:t>
        </x:is>
      </x:c>
    </x:row>
    <x:row r="23" ht="39" customHeight="1">
      <x:c r="A23" s="30" t="inlineStr">
        <x:is>
          <x:t xml:space="preserve">R5C</x:t>
        </x:is>
      </x:c>
      <x:c r="B23" s="30" t="n">
        <x:v>5</x:v>
      </x:c>
      <x:c r="C23" s="30" t="inlineStr">
        <x:is>
          <x:t xml:space="preserve">Comment votre entreprise est-elle actuellement présente sur les canaux numériques ?</x:t>
        </x:is>
      </x:c>
      <x:c r="D23" s="30" t="inlineStr">
        <x:is>
          <x:t xml:space="preserve">Je communique régulièrement sur le canal que j’utilise le plus.</x:t>
        </x:is>
      </x:c>
      <x:c r="E23" s="30" t="inlineStr">
        <x:is>
          <x:t xml:space="preserve">Présence digitale</x:t>
        </x:is>
      </x:c>
      <x:c r="F23" s="45" t="n">
        <x:v>2</x:v>
      </x:c>
      <x:c r="G23" s="45" t="n">
        <x:v>3</x:v>
      </x:c>
      <x:c r="H23" s="30" t="inlineStr">
        <x:is>
          <x:t xml:space="preserve">Niveau déclaré</x:t>
        </x:is>
      </x:c>
      <x:c r="I23" s="30" t="inlineStr">
        <x:is>
          <x:t xml:space="preserve">Installé</x:t>
        </x:is>
      </x:c>
      <x:c r="J23" s="30" t="inlineStr">
        <x:is>
          <x:t xml:space="preserve">Échelle progressive 2/3.</x:t>
        </x:is>
      </x:c>
    </x:row>
    <x:row r="24" ht="39" customHeight="1">
      <x:c r="A24" s="30" t="inlineStr">
        <x:is>
          <x:t xml:space="preserve">R5D</x:t>
        </x:is>
      </x:c>
      <x:c r="B24" s="30" t="n">
        <x:v>5</x:v>
      </x:c>
      <x:c r="C24" s="30" t="inlineStr">
        <x:is>
          <x:t xml:space="preserve">Comment votre entreprise est-elle actuellement présente sur les canaux numériques ?</x:t>
        </x:is>
      </x:c>
      <x:c r="D24" s="30" t="inlineStr">
        <x:is>
          <x:t xml:space="preserve">Je maintiens une présence continue sur les canaux utiles à mon activité.</x:t>
        </x:is>
      </x:c>
      <x:c r="E24" s="30" t="inlineStr">
        <x:is>
          <x:t xml:space="preserve">Présence digitale</x:t>
        </x:is>
      </x:c>
      <x:c r="F24" s="45" t="n">
        <x:v>3</x:v>
      </x:c>
      <x:c r="G24" s="45" t="n">
        <x:v>3</x:v>
      </x:c>
      <x:c r="H24" s="30" t="inlineStr">
        <x:is>
          <x:t xml:space="preserve">Niveau déclaré</x:t>
        </x:is>
      </x:c>
      <x:c r="I24" s="30" t="inlineStr">
        <x:is>
          <x:t xml:space="preserve">Fort</x:t>
        </x:is>
      </x:c>
      <x:c r="J24" s="30" t="inlineStr">
        <x:is>
          <x:t xml:space="preserve">Échelle progressive 3/3.</x:t>
        </x:is>
      </x:c>
    </x:row>
    <x:row r="25" ht="39" customHeight="1">
      <x:c r="A25" s="30" t="inlineStr">
        <x:is>
          <x:t xml:space="preserve">R6A</x:t>
        </x:is>
      </x:c>
      <x:c r="B25" s="30" t="n">
        <x:v>6</x:v>
      </x:c>
      <x:c r="C25" s="30" t="inlineStr">
        <x:is>
          <x:t xml:space="preserve">Que produit concrètement votre présence numérique pour votre entreprise ?</x:t>
        </x:is>
      </x:c>
      <x:c r="D25" s="30" t="inlineStr">
        <x:is>
          <x:t xml:space="preserve">Je ne mesure pas encore réellement ce qu’elle apporte à mon activité.</x:t>
        </x:is>
      </x:c>
      <x:c r="E25" s="30" t="inlineStr">
        <x:is>
          <x:t xml:space="preserve">Performance digitale</x:t>
        </x:is>
      </x:c>
      <x:c r="F25" s="45" t="n">
        <x:v>0</x:v>
      </x:c>
      <x:c r="G25" s="45" t="n">
        <x:v>3</x:v>
      </x:c>
      <x:c r="H25" s="30" t="inlineStr">
        <x:is>
          <x:t xml:space="preserve">Niveau déclaré</x:t>
        </x:is>
      </x:c>
      <x:c r="I25" s="30" t="inlineStr">
        <x:is>
          <x:t xml:space="preserve">Faible</x:t>
        </x:is>
      </x:c>
      <x:c r="J25" s="30" t="inlineStr">
        <x:is>
          <x:t xml:space="preserve">Échelle progressive 0/3.</x:t>
        </x:is>
      </x:c>
    </x:row>
    <x:row r="26" ht="39" customHeight="1">
      <x:c r="A26" s="30" t="inlineStr">
        <x:is>
          <x:t xml:space="preserve">R6B</x:t>
        </x:is>
      </x:c>
      <x:c r="B26" s="30" t="n">
        <x:v>6</x:v>
      </x:c>
      <x:c r="C26" s="30" t="inlineStr">
        <x:is>
          <x:t xml:space="preserve">Que produit concrètement votre présence numérique pour votre entreprise ?</x:t>
        </x:is>
      </x:c>
      <x:c r="D26" s="30" t="inlineStr">
        <x:is>
          <x:t xml:space="preserve">Elle me permet surtout d’obtenir de la visibilité et des réactions.</x:t>
        </x:is>
      </x:c>
      <x:c r="E26" s="30" t="inlineStr">
        <x:is>
          <x:t xml:space="preserve">Performance digitale</x:t>
        </x:is>
      </x:c>
      <x:c r="F26" s="45" t="n">
        <x:v>1</x:v>
      </x:c>
      <x:c r="G26" s="45" t="n">
        <x:v>3</x:v>
      </x:c>
      <x:c r="H26" s="30" t="inlineStr">
        <x:is>
          <x:t xml:space="preserve">Niveau déclaré</x:t>
        </x:is>
      </x:c>
      <x:c r="I26" s="30" t="inlineStr">
        <x:is>
          <x:t xml:space="preserve">Émergent</x:t>
        </x:is>
      </x:c>
      <x:c r="J26" s="30" t="inlineStr">
        <x:is>
          <x:t xml:space="preserve">Échelle progressive 1/3.</x:t>
        </x:is>
      </x:c>
    </x:row>
    <x:row r="27" ht="39" customHeight="1">
      <x:c r="A27" s="30" t="inlineStr">
        <x:is>
          <x:t xml:space="preserve">R6C</x:t>
        </x:is>
      </x:c>
      <x:c r="B27" s="30" t="n">
        <x:v>6</x:v>
      </x:c>
      <x:c r="C27" s="30" t="inlineStr">
        <x:is>
          <x:t xml:space="preserve">Que produit concrètement votre présence numérique pour votre entreprise ?</x:t>
        </x:is>
      </x:c>
      <x:c r="D27" s="30" t="inlineStr">
        <x:is>
          <x:t xml:space="preserve">Elle génère régulièrement des demandes d’information ou de devis.</x:t>
        </x:is>
      </x:c>
      <x:c r="E27" s="30" t="inlineStr">
        <x:is>
          <x:t xml:space="preserve">Performance digitale</x:t>
        </x:is>
      </x:c>
      <x:c r="F27" s="45" t="n">
        <x:v>2</x:v>
      </x:c>
      <x:c r="G27" s="45" t="n">
        <x:v>3</x:v>
      </x:c>
      <x:c r="H27" s="30" t="inlineStr">
        <x:is>
          <x:t xml:space="preserve">Niveau déclaré</x:t>
        </x:is>
      </x:c>
      <x:c r="I27" s="30" t="inlineStr">
        <x:is>
          <x:t xml:space="preserve">Installé</x:t>
        </x:is>
      </x:c>
      <x:c r="J27" s="30" t="inlineStr">
        <x:is>
          <x:t xml:space="preserve">Échelle progressive 2/3.</x:t>
        </x:is>
      </x:c>
    </x:row>
    <x:row r="28" ht="39" customHeight="1">
      <x:c r="A28" s="30" t="inlineStr">
        <x:is>
          <x:t xml:space="preserve">R6D</x:t>
        </x:is>
      </x:c>
      <x:c r="B28" s="30" t="n">
        <x:v>6</x:v>
      </x:c>
      <x:c r="C28" s="30" t="inlineStr">
        <x:is>
          <x:t xml:space="preserve">Que produit concrètement votre présence numérique pour votre entreprise ?</x:t>
        </x:is>
      </x:c>
      <x:c r="D28" s="30" t="inlineStr">
        <x:is>
          <x:t xml:space="preserve">Je peux identifier des ventes directement issues de mes actions numériques.</x:t>
        </x:is>
      </x:c>
      <x:c r="E28" s="30" t="inlineStr">
        <x:is>
          <x:t xml:space="preserve">Performance digitale</x:t>
        </x:is>
      </x:c>
      <x:c r="F28" s="45" t="n">
        <x:v>3</x:v>
      </x:c>
      <x:c r="G28" s="45" t="n">
        <x:v>3</x:v>
      </x:c>
      <x:c r="H28" s="30" t="inlineStr">
        <x:is>
          <x:t xml:space="preserve">Niveau déclaré</x:t>
        </x:is>
      </x:c>
      <x:c r="I28" s="30" t="inlineStr">
        <x:is>
          <x:t xml:space="preserve">Fort</x:t>
        </x:is>
      </x:c>
      <x:c r="J28" s="30" t="inlineStr">
        <x:is>
          <x:t xml:space="preserve">Échelle progressive 3/3.</x:t>
        </x:is>
      </x:c>
    </x:row>
    <x:row r="29" ht="39" customHeight="1">
      <x:c r="A29" s="30" t="inlineStr">
        <x:is>
          <x:t xml:space="preserve">R7A</x:t>
        </x:is>
      </x:c>
      <x:c r="B29" s="30" t="n">
        <x:v>7</x:v>
      </x:c>
      <x:c r="C29" s="30" t="inlineStr">
        <x:is>
          <x:t xml:space="preserve">Si votre entreprise arrêtait ses activités demain, qui le remarquerait rapidement ?</x:t>
        </x:is>
      </x:c>
      <x:c r="D29" s="30" t="inlineStr">
        <x:is>
          <x:t xml:space="preserve">Les personnes directement impliquées dans mon activité le remarqueraient.</x:t>
        </x:is>
      </x:c>
      <x:c r="E29" s="30" t="inlineStr">
        <x:is>
          <x:t xml:space="preserve">Empreinte dans l’écosystème</x:t>
        </x:is>
      </x:c>
      <x:c r="F29" s="45" t="n">
        <x:v>0</x:v>
      </x:c>
      <x:c r="G29" s="45" t="n">
        <x:v>3</x:v>
      </x:c>
      <x:c r="H29" s="30" t="inlineStr">
        <x:is>
          <x:t xml:space="preserve">Niveau déclaré</x:t>
        </x:is>
      </x:c>
      <x:c r="I29" s="30" t="inlineStr">
        <x:is>
          <x:t xml:space="preserve">Faible</x:t>
        </x:is>
      </x:c>
      <x:c r="J29" s="30" t="inlineStr">
        <x:is>
          <x:t xml:space="preserve">Échelle progressive 0/3.</x:t>
        </x:is>
      </x:c>
    </x:row>
    <x:row r="30" ht="39" customHeight="1">
      <x:c r="A30" s="30" t="inlineStr">
        <x:is>
          <x:t xml:space="preserve">R7B</x:t>
        </x:is>
      </x:c>
      <x:c r="B30" s="30" t="n">
        <x:v>7</x:v>
      </x:c>
      <x:c r="C30" s="30" t="inlineStr">
        <x:is>
          <x:t xml:space="preserve">Si votre entreprise arrêtait ses activités demain, qui le remarquerait rapidement ?</x:t>
        </x:is>
      </x:c>
      <x:c r="D30" s="30" t="inlineStr">
        <x:is>
          <x:t xml:space="preserve">Mes clients réguliers ressentiraient rapidement mon absence.</x:t>
        </x:is>
      </x:c>
      <x:c r="E30" s="30" t="inlineStr">
        <x:is>
          <x:t xml:space="preserve">Empreinte dans l’écosystème</x:t>
        </x:is>
      </x:c>
      <x:c r="F30" s="45" t="n">
        <x:v>1</x:v>
      </x:c>
      <x:c r="G30" s="45" t="n">
        <x:v>3</x:v>
      </x:c>
      <x:c r="H30" s="30" t="inlineStr">
        <x:is>
          <x:t xml:space="preserve">Niveau déclaré</x:t>
        </x:is>
      </x:c>
      <x:c r="I30" s="30" t="inlineStr">
        <x:is>
          <x:t xml:space="preserve">Émergent</x:t>
        </x:is>
      </x:c>
      <x:c r="J30" s="30" t="inlineStr">
        <x:is>
          <x:t xml:space="preserve">Échelle progressive 1/3.</x:t>
        </x:is>
      </x:c>
    </x:row>
    <x:row r="31" ht="39" customHeight="1">
      <x:c r="A31" s="30" t="inlineStr">
        <x:is>
          <x:t xml:space="preserve">R7C</x:t>
        </x:is>
      </x:c>
      <x:c r="B31" s="30" t="n">
        <x:v>7</x:v>
      </x:c>
      <x:c r="C31" s="30" t="inlineStr">
        <x:is>
          <x:t xml:space="preserve">Si votre entreprise arrêtait ses activités demain, qui le remarquerait rapidement ?</x:t>
        </x:is>
      </x:c>
      <x:c r="D31" s="30" t="inlineStr">
        <x:is>
          <x:t xml:space="preserve">Certains partenaires ou professionnels de mon secteur le remarqueraient.</x:t>
        </x:is>
      </x:c>
      <x:c r="E31" s="30" t="inlineStr">
        <x:is>
          <x:t xml:space="preserve">Empreinte dans l’écosystème</x:t>
        </x:is>
      </x:c>
      <x:c r="F31" s="45" t="n">
        <x:v>2</x:v>
      </x:c>
      <x:c r="G31" s="45" t="n">
        <x:v>3</x:v>
      </x:c>
      <x:c r="H31" s="30" t="inlineStr">
        <x:is>
          <x:t xml:space="preserve">Niveau déclaré</x:t>
        </x:is>
      </x:c>
      <x:c r="I31" s="30" t="inlineStr">
        <x:is>
          <x:t xml:space="preserve">Installé</x:t>
        </x:is>
      </x:c>
      <x:c r="J31" s="30" t="inlineStr">
        <x:is>
          <x:t xml:space="preserve">Échelle progressive 2/3.</x:t>
        </x:is>
      </x:c>
    </x:row>
    <x:row r="32" ht="39" customHeight="1">
      <x:c r="A32" s="31" t="inlineStr">
        <x:is>
          <x:t xml:space="preserve">R7D</x:t>
        </x:is>
      </x:c>
      <x:c r="B32" s="31" t="n">
        <x:v>7</x:v>
      </x:c>
      <x:c r="C32" s="31" t="inlineStr">
        <x:is>
          <x:t xml:space="preserve">Si votre entreprise arrêtait ses activités demain, qui le remarquerait rapidement ?</x:t>
        </x:is>
      </x:c>
      <x:c r="D32" s="31" t="inlineStr">
        <x:is>
          <x:t xml:space="preserve">Une partie de mon marché constaterait clairement la disparition de mon offre.</x:t>
        </x:is>
      </x:c>
      <x:c r="E32" s="31" t="inlineStr">
        <x:is>
          <x:t xml:space="preserve">Empreinte dans l’écosystème</x:t>
        </x:is>
      </x:c>
      <x:c r="F32" s="46" t="n">
        <x:v>3</x:v>
      </x:c>
      <x:c r="G32" s="46" t="n">
        <x:v>3</x:v>
      </x:c>
      <x:c r="H32" s="31" t="inlineStr">
        <x:is>
          <x:t xml:space="preserve">Niveau déclaré</x:t>
        </x:is>
      </x:c>
      <x:c r="I32" s="31" t="inlineStr">
        <x:is>
          <x:t xml:space="preserve">Fort</x:t>
        </x:is>
      </x:c>
      <x:c r="J32" s="31" t="inlineStr">
        <x:is>
          <x:t xml:space="preserve">Échelle progressive 3/3.</x:t>
        </x:is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e9ad6aeb6ef34d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.440000057220459" customWidth="1"/>
    <x:col min="2" max="2" width="10.220000267028809" customWidth="1"/>
    <x:col min="3" max="3" width="4.670000076293945" customWidth="1"/>
    <x:col min="4" max="4" width="29.440000534057617" customWidth="1"/>
    <x:col min="5" max="5" width="35.560001373291016" customWidth="1"/>
    <x:col min="6" max="6" width="16.670000076293945" customWidth="1"/>
    <x:col min="7" max="7" width="13.5600004196167" customWidth="1"/>
    <x:col min="8" max="8" width="7.21999979019165" customWidth="1"/>
    <x:col min="9" max="9" width="11.670000076293945" customWidth="1"/>
    <x:col min="10" max="10" width="33.33000183105469" customWidth="1"/>
    <x:col min="11" max="11" width="33.33000183105469" customWidth="1"/>
    <x:col min="12" max="12" width="33.33000183105469" customWidth="1"/>
    <x:col min="13" max="13" width="33.33000183105469" customWidth="1"/>
    <x:col min="14" max="14" width="25" customWidth="1"/>
  </x:cols>
  <x:sheetData>
    <x:row r="1" ht="31.5" customHeight="1">
      <x:c r="A1" s="3" t="inlineStr">
        <x:is>
          <x:t xml:space="preserve">Bibliothèque de constats — lecture commerciale option par option</x:t>
        </x:is>
      </x:c>
    </x:row>
    <x:row r="2">
      <x:c r="A2" s="7" t="inlineStr">
        <x:is>
          <x:t xml:space="preserve">Chaque option est traduite en fait déclaré, difficulté éventuelle et hypothèse à confirmer. Une hypothèse n’est jamais présentée comme un fait et aucune ligne ne recommande un produit.</x:t>
        </x:is>
      </x:c>
    </x:row>
    <x:row r="3"/>
    <x:row r="4" ht="41.25" customHeight="1">
      <x:c r="A4" s="19" t="inlineStr">
        <x:is>
          <x:t xml:space="preserve">Code</x:t>
        </x:is>
      </x:c>
      <x:c r="B4" s="20" t="inlineStr">
        <x:is>
          <x:t xml:space="preserve">Parcours</x:t>
        </x:is>
      </x:c>
      <x:c r="C4" s="20" t="inlineStr">
        <x:is>
          <x:t xml:space="preserve">N°</x:t>
        </x:is>
      </x:c>
      <x:c r="D4" s="20" t="inlineStr">
        <x:is>
          <x:t xml:space="preserve">Question validée</x:t>
        </x:is>
      </x:c>
      <x:c r="E4" s="20" t="inlineStr">
        <x:is>
          <x:t xml:space="preserve">Option validée</x:t>
        </x:is>
      </x:c>
      <x:c r="F4" s="20" t="inlineStr">
        <x:is>
          <x:t xml:space="preserve">Dimension</x:t>
        </x:is>
      </x:c>
      <x:c r="G4" s="20" t="inlineStr">
        <x:is>
          <x:t xml:space="preserve">Nature</x:t>
        </x:is>
      </x:c>
      <x:c r="H4" s="20" t="inlineStr">
        <x:is>
          <x:t xml:space="preserve">Gravité</x:t>
        </x:is>
      </x:c>
      <x:c r="I4" s="20" t="inlineStr">
        <x:is>
          <x:t xml:space="preserve">Niveau</x:t>
        </x:is>
      </x:c>
      <x:c r="J4" s="20" t="inlineStr">
        <x:is>
          <x:t xml:space="preserve">Constat factuel</x:t>
        </x:is>
      </x:c>
      <x:c r="K4" s="20" t="inlineStr">
        <x:is>
          <x:t xml:space="preserve">Difficulté précise</x:t>
        </x:is>
      </x:c>
      <x:c r="L4" s="20" t="inlineStr">
        <x:is>
          <x:t xml:space="preserve">Hypothèse à approfondir</x:t>
        </x:is>
      </x:c>
      <x:c r="M4" s="20" t="inlineStr">
        <x:is>
          <x:t xml:space="preserve">Question de relance</x:t>
        </x:is>
      </x:c>
      <x:c r="N4" s="21" t="inlineStr">
        <x:is>
          <x:t xml:space="preserve">Utilisation commerciale</x:t>
        </x:is>
      </x:c>
    </x:row>
    <x:row r="5" ht="41.25" customHeight="1">
      <x:c r="A5" s="29" t="inlineStr">
        <x:is>
          <x:t xml:space="preserve">Q1A</x:t>
        </x:is>
      </x:c>
      <x:c r="B5" s="29" t="inlineStr">
        <x:is>
          <x:t xml:space="preserve">Dirigeant</x:t>
        </x:is>
      </x:c>
      <x:c r="C5" s="29" t="n">
        <x:v>1</x:v>
      </x:c>
      <x:c r="D5" s="29" t="inlineStr">
        <x:is>
          <x:t xml:space="preserve">Une nouvelle opportunité se présente. Qu’est-ce qui vous pousse le plus à avancer ?</x:t>
        </x:is>
      </x:c>
      <x:c r="E5" s="29" t="inlineStr">
        <x:is>
          <x:t xml:space="preserve">Je me projette d’abord sur ce qu’elle pourrait apporter à mon entreprise.</x:t>
        </x:is>
      </x:c>
      <x:c r="F5" s="29" t="inlineStr">
        <x:is>
          <x:t xml:space="preserve">Décision</x:t>
        </x:is>
      </x:c>
      <x:c r="G5" s="29" t="inlineStr">
        <x:is>
          <x:t xml:space="preserve">Signal déclaré</x:t>
        </x:is>
      </x:c>
      <x:c r="H5" s="44" t="n">
        <x:v>0</x:v>
      </x:c>
      <x:c r="I5" s="29" t="inlineStr">
        <x:is>
          <x:t xml:space="preserve">Aucune alerte</x:t>
        </x:is>
      </x:c>
      <x:c r="J5" s="29" t="inlineStr">
        <x:is>
          <x:t xml:space="preserve">Le prospect se projette d’abord sur l’impact futur d’une opportunité.</x:t>
        </x:is>
      </x:c>
      <x:c r="K5" s="29" t="str"/>
      <x:c r="L5" s="29" t="inlineStr">
        <x:is>
          <x:t xml:space="preserve">Sa décision semble sensible à la perspective de développement.</x:t>
        </x:is>
      </x:c>
      <x:c r="M5" s="29" t="inlineStr">
        <x:is>
          <x:t xml:space="preserve">Quels résultats attendez-vous généralement avant de considérer une opportunité comme intéressante ?</x:t>
        </x:is>
      </x:c>
      <x:c r="N5" s="29" t="inlineStr">
        <x:is>
          <x:t xml:space="preserve">Comprendre son moteur de décision.</x:t>
        </x:is>
      </x:c>
    </x:row>
    <x:row r="6" ht="41.25" customHeight="1">
      <x:c r="A6" s="30" t="inlineStr">
        <x:is>
          <x:t xml:space="preserve">Q1B</x:t>
        </x:is>
      </x:c>
      <x:c r="B6" s="30" t="inlineStr">
        <x:is>
          <x:t xml:space="preserve">Dirigeant</x:t>
        </x:is>
      </x:c>
      <x:c r="C6" s="30" t="n">
        <x:v>1</x:v>
      </x:c>
      <x:c r="D6" s="30" t="inlineStr">
        <x:is>
          <x:t xml:space="preserve">Une nouvelle opportunité se présente. Qu’est-ce qui vous pousse le plus à avancer ?</x:t>
        </x:is>
      </x:c>
      <x:c r="E6" s="30" t="inlineStr">
        <x:is>
          <x:t xml:space="preserve">Je vérifie les chiffres avant de décider si elle mérite mon investissement.</x:t>
        </x:is>
      </x:c>
      <x:c r="F6" s="30" t="inlineStr">
        <x:is>
          <x:t xml:space="preserve">Décision</x:t>
        </x:is>
      </x:c>
      <x:c r="G6" s="30" t="inlineStr">
        <x:is>
          <x:t xml:space="preserve">Signal déclaré</x:t>
        </x:is>
      </x:c>
      <x:c r="H6" s="45" t="n">
        <x:v>0</x:v>
      </x:c>
      <x:c r="I6" s="30" t="inlineStr">
        <x:is>
          <x:t xml:space="preserve">Aucune alerte</x:t>
        </x:is>
      </x:c>
      <x:c r="J6" s="30" t="inlineStr">
        <x:is>
          <x:t xml:space="preserve">Le prospect examine les chiffres avant d’investir.</x:t>
        </x:is>
      </x:c>
      <x:c r="K6" s="30" t="str"/>
      <x:c r="L6" s="30" t="inlineStr">
        <x:is>
          <x:t xml:space="preserve">Il cherchera probablement des éléments quantifiables avant d’avancer.</x:t>
        </x:is>
      </x:c>
      <x:c r="M6" s="30" t="inlineStr">
        <x:is>
          <x:t xml:space="preserve">Quels chiffres vous permettent aujourd’hui de juger qu’une décision est rentable ?</x:t>
        </x:is>
      </x:c>
      <x:c r="N6" s="30" t="inlineStr">
        <x:is>
          <x:t xml:space="preserve">Préparer un échange fondé sur des données.</x:t>
        </x:is>
      </x:c>
    </x:row>
    <x:row r="7" ht="41.25" customHeight="1">
      <x:c r="A7" s="30" t="inlineStr">
        <x:is>
          <x:t xml:space="preserve">Q1C</x:t>
        </x:is>
      </x:c>
      <x:c r="B7" s="30" t="inlineStr">
        <x:is>
          <x:t xml:space="preserve">Dirigeant</x:t>
        </x:is>
      </x:c>
      <x:c r="C7" s="30" t="n">
        <x:v>1</x:v>
      </x:c>
      <x:c r="D7" s="30" t="inlineStr">
        <x:is>
          <x:t xml:space="preserve">Une nouvelle opportunité se présente. Qu’est-ce qui vous pousse le plus à avancer ?</x:t>
        </x:is>
      </x:c>
      <x:c r="E7" s="30" t="inlineStr">
        <x:is>
          <x:t xml:space="preserve">J’observe si elle répond à une demande réelle de mes clients.</x:t>
        </x:is>
      </x:c>
      <x:c r="F7" s="30" t="inlineStr">
        <x:is>
          <x:t xml:space="preserve">Décision</x:t>
        </x:is>
      </x:c>
      <x:c r="G7" s="30" t="inlineStr">
        <x:is>
          <x:t xml:space="preserve">Signal déclaré</x:t>
        </x:is>
      </x:c>
      <x:c r="H7" s="45" t="n">
        <x:v>0</x:v>
      </x:c>
      <x:c r="I7" s="30" t="inlineStr">
        <x:is>
          <x:t xml:space="preserve">Aucune alerte</x:t>
        </x:is>
      </x:c>
      <x:c r="J7" s="30" t="inlineStr">
        <x:is>
          <x:t xml:space="preserve">Le prospect observe d’abord la demande réelle de ses clients.</x:t>
        </x:is>
      </x:c>
      <x:c r="K7" s="30" t="str"/>
      <x:c r="L7" s="30" t="inlineStr">
        <x:is>
          <x:t xml:space="preserve">La preuve par l’usage client semble déterminante dans ses choix.</x:t>
        </x:is>
      </x:c>
      <x:c r="M7" s="30" t="inlineStr">
        <x:is>
          <x:t xml:space="preserve">Comment recueillez-vous aujourd’hui les demandes ou objections de vos clients ?</x:t>
        </x:is>
      </x:c>
      <x:c r="N7" s="30" t="inlineStr">
        <x:is>
          <x:t xml:space="preserve">Comprendre la place du retour client.</x:t>
        </x:is>
      </x:c>
    </x:row>
    <x:row r="8" ht="41.25" customHeight="1">
      <x:c r="A8" s="30" t="inlineStr">
        <x:is>
          <x:t xml:space="preserve">Q1D</x:t>
        </x:is>
      </x:c>
      <x:c r="B8" s="30" t="inlineStr">
        <x:is>
          <x:t xml:space="preserve">Dirigeant</x:t>
        </x:is>
      </x:c>
      <x:c r="C8" s="30" t="n">
        <x:v>1</x:v>
      </x:c>
      <x:c r="D8" s="30" t="inlineStr">
        <x:is>
          <x:t xml:space="preserve">Une nouvelle opportunité se présente. Qu’est-ce qui vous pousse le plus à avancer ?</x:t>
        </x:is>
      </x:c>
      <x:c r="E8" s="30" t="inlineStr">
        <x:is>
          <x:t xml:space="preserve">Je préfère la tester à petite échelle avant de m’engager davantage.</x:t>
        </x:is>
      </x:c>
      <x:c r="F8" s="30" t="inlineStr">
        <x:is>
          <x:t xml:space="preserve">Décision</x:t>
        </x:is>
      </x:c>
      <x:c r="G8" s="30" t="inlineStr">
        <x:is>
          <x:t xml:space="preserve">Signal déclaré</x:t>
        </x:is>
      </x:c>
      <x:c r="H8" s="45" t="n">
        <x:v>0</x:v>
      </x:c>
      <x:c r="I8" s="30" t="inlineStr">
        <x:is>
          <x:t xml:space="preserve">Aucune alerte</x:t>
        </x:is>
      </x:c>
      <x:c r="J8" s="30" t="inlineStr">
        <x:is>
          <x:t xml:space="preserve">Le prospect préfère tester une opportunité à petite échelle.</x:t>
        </x:is>
      </x:c>
      <x:c r="K8" s="30" t="str"/>
      <x:c r="L8" s="30" t="inlineStr">
        <x:is>
          <x:t xml:space="preserve">Une démarche pilote peut faciliter son engagement.</x:t>
        </x:is>
      </x:c>
      <x:c r="M8" s="30" t="inlineStr">
        <x:is>
          <x:t xml:space="preserve">À quoi ressemble, pour vous, un test suffisamment concluant pour poursuivre ?</x:t>
        </x:is>
      </x:c>
      <x:c r="N8" s="30" t="inlineStr">
        <x:is>
          <x:t xml:space="preserve">Comprendre son mode d’expérimentation.</x:t>
        </x:is>
      </x:c>
    </x:row>
    <x:row r="9" ht="41.25" customHeight="1">
      <x:c r="A9" s="30" t="inlineStr">
        <x:is>
          <x:t xml:space="preserve">Q2A</x:t>
        </x:is>
      </x:c>
      <x:c r="B9" s="30" t="inlineStr">
        <x:is>
          <x:t xml:space="preserve">Dirigeant</x:t>
        </x:is>
      </x:c>
      <x:c r="C9" s="30" t="n">
        <x:v>2</x:v>
      </x:c>
      <x:c r="D9" s="30" t="inlineStr">
        <x:is>
          <x:t xml:space="preserve">Vos ventes augmentent brusquement. Quelle devient votre première priorité ?</x:t>
        </x:is>
      </x:c>
      <x:c r="E9" s="30" t="inlineStr">
        <x:is>
          <x:t xml:space="preserve">Je cherche d’abord à sécuriser les nouveaux encaissements.</x:t>
        </x:is>
      </x:c>
      <x:c r="F9" s="30" t="inlineStr">
        <x:is>
          <x:t xml:space="preserve">Croissance</x:t>
        </x:is>
      </x:c>
      <x:c r="G9" s="30" t="inlineStr">
        <x:is>
          <x:t xml:space="preserve">Signal déclaré</x:t>
        </x:is>
      </x:c>
      <x:c r="H9" s="45" t="n">
        <x:v>0</x:v>
      </x:c>
      <x:c r="I9" s="30" t="inlineStr">
        <x:is>
          <x:t xml:space="preserve">Aucune alerte</x:t>
        </x:is>
      </x:c>
      <x:c r="J9" s="30" t="inlineStr">
        <x:is>
          <x:t xml:space="preserve">En période de croissance, sa priorité est de sécuriser les encaissements.</x:t>
        </x:is>
      </x:c>
      <x:c r="K9" s="30" t="str"/>
      <x:c r="L9" s="30" t="inlineStr">
        <x:is>
          <x:t xml:space="preserve">Il associe l’augmentation des ventes à un risque opérationnel sur les paiements.</x:t>
        </x:is>
      </x:c>
      <x:c r="M9" s="30" t="inlineStr">
        <x:is>
          <x:t xml:space="preserve">Qu’est-ce qui devient le plus difficile à contrôler lorsque vos ventes augmentent ?</x:t>
        </x:is>
      </x:c>
      <x:c r="N9" s="30" t="inlineStr">
        <x:is>
          <x:t xml:space="preserve">Identifier les tensions créées par la croissance.</x:t>
        </x:is>
      </x:c>
    </x:row>
    <x:row r="10" ht="41.25" customHeight="1">
      <x:c r="A10" s="30" t="inlineStr">
        <x:is>
          <x:t xml:space="preserve">Q2B</x:t>
        </x:is>
      </x:c>
      <x:c r="B10" s="30" t="inlineStr">
        <x:is>
          <x:t xml:space="preserve">Dirigeant</x:t>
        </x:is>
      </x:c>
      <x:c r="C10" s="30" t="n">
        <x:v>2</x:v>
      </x:c>
      <x:c r="D10" s="30" t="inlineStr">
        <x:is>
          <x:t xml:space="preserve">Vos ventes augmentent brusquement. Quelle devient votre première priorité ?</x:t>
        </x:is>
      </x:c>
      <x:c r="E10" s="30" t="inlineStr">
        <x:is>
          <x:t xml:space="preserve">Je m’assure que mon organisation peut absorber cette augmentation.</x:t>
        </x:is>
      </x:c>
      <x:c r="F10" s="30" t="inlineStr">
        <x:is>
          <x:t xml:space="preserve">Croissance</x:t>
        </x:is>
      </x:c>
      <x:c r="G10" s="30" t="inlineStr">
        <x:is>
          <x:t xml:space="preserve">Signal déclaré</x:t>
        </x:is>
      </x:c>
      <x:c r="H10" s="45" t="n">
        <x:v>0</x:v>
      </x:c>
      <x:c r="I10" s="30" t="inlineStr">
        <x:is>
          <x:t xml:space="preserve">Aucune alerte</x:t>
        </x:is>
      </x:c>
      <x:c r="J10" s="30" t="inlineStr">
        <x:is>
          <x:t xml:space="preserve">En période de croissance, sa priorité est la capacité de l’organisation à suivre.</x:t>
        </x:is>
      </x:c>
      <x:c r="K10" s="30" t="str"/>
      <x:c r="L10" s="30" t="inlineStr">
        <x:is>
          <x:t xml:space="preserve">La charge opérationnelle peut constituer son principal frein à l’accélération.</x:t>
        </x:is>
      </x:c>
      <x:c r="M10" s="30" t="inlineStr">
        <x:is>
          <x:t xml:space="preserve">Quels processus sont les premiers à être débordés lorsque l’activité augmente ?</x:t>
        </x:is>
      </x:c>
      <x:c r="N10" s="30" t="inlineStr">
        <x:is>
          <x:t xml:space="preserve">Identifier les limites opérationnelles.</x:t>
        </x:is>
      </x:c>
    </x:row>
    <x:row r="11" ht="41.25" customHeight="1">
      <x:c r="A11" s="30" t="inlineStr">
        <x:is>
          <x:t xml:space="preserve">Q2C</x:t>
        </x:is>
      </x:c>
      <x:c r="B11" s="30" t="inlineStr">
        <x:is>
          <x:t xml:space="preserve">Dirigeant</x:t>
        </x:is>
      </x:c>
      <x:c r="C11" s="30" t="n">
        <x:v>2</x:v>
      </x:c>
      <x:c r="D11" s="30" t="inlineStr">
        <x:is>
          <x:t xml:space="preserve">Vos ventes augmentent brusquement. Quelle devient votre première priorité ?</x:t>
        </x:is>
      </x:c>
      <x:c r="E11" s="30" t="inlineStr">
        <x:is>
          <x:t xml:space="preserve">Je veille surtout à maintenir une bonne expérience pour mes clients.</x:t>
        </x:is>
      </x:c>
      <x:c r="F11" s="30" t="inlineStr">
        <x:is>
          <x:t xml:space="preserve">Croissance</x:t>
        </x:is>
      </x:c>
      <x:c r="G11" s="30" t="inlineStr">
        <x:is>
          <x:t xml:space="preserve">Signal déclaré</x:t>
        </x:is>
      </x:c>
      <x:c r="H11" s="45" t="n">
        <x:v>0</x:v>
      </x:c>
      <x:c r="I11" s="30" t="inlineStr">
        <x:is>
          <x:t xml:space="preserve">Aucune alerte</x:t>
        </x:is>
      </x:c>
      <x:c r="J11" s="30" t="inlineStr">
        <x:is>
          <x:t xml:space="preserve">En période de croissance, sa priorité est de préserver l’expérience client.</x:t>
        </x:is>
      </x:c>
      <x:c r="K11" s="30" t="str"/>
      <x:c r="L11" s="30" t="inlineStr">
        <x:is>
          <x:t xml:space="preserve">Il pourrait arbitrer les outils et processus selon leur impact sur le client.</x:t>
        </x:is>
      </x:c>
      <x:c r="M11" s="30" t="inlineStr">
        <x:is>
          <x:t xml:space="preserve">À quel moment l’augmentation des commandes commence-t-elle à affecter vos clients ?</x:t>
        </x:is>
      </x:c>
      <x:c r="N11" s="30" t="inlineStr">
        <x:is>
          <x:t xml:space="preserve">Identifier les frictions côté client.</x:t>
        </x:is>
      </x:c>
    </x:row>
    <x:row r="12" ht="41.25" customHeight="1">
      <x:c r="A12" s="30" t="inlineStr">
        <x:is>
          <x:t xml:space="preserve">Q2D</x:t>
        </x:is>
      </x:c>
      <x:c r="B12" s="30" t="inlineStr">
        <x:is>
          <x:t xml:space="preserve">Dirigeant</x:t>
        </x:is>
      </x:c>
      <x:c r="C12" s="30" t="n">
        <x:v>2</x:v>
      </x:c>
      <x:c r="D12" s="30" t="inlineStr">
        <x:is>
          <x:t xml:space="preserve">Vos ventes augmentent brusquement. Quelle devient votre première priorité ?</x:t>
        </x:is>
      </x:c>
      <x:c r="E12" s="30" t="inlineStr">
        <x:is>
          <x:t xml:space="preserve">Je prépare immédiatement la prochaine étape de développement.</x:t>
        </x:is>
      </x:c>
      <x:c r="F12" s="30" t="inlineStr">
        <x:is>
          <x:t xml:space="preserve">Croissance</x:t>
        </x:is>
      </x:c>
      <x:c r="G12" s="30" t="inlineStr">
        <x:is>
          <x:t xml:space="preserve">Signal déclaré</x:t>
        </x:is>
      </x:c>
      <x:c r="H12" s="45" t="n">
        <x:v>0</x:v>
      </x:c>
      <x:c r="I12" s="30" t="inlineStr">
        <x:is>
          <x:t xml:space="preserve">Aucune alerte</x:t>
        </x:is>
      </x:c>
      <x:c r="J12" s="30" t="inlineStr">
        <x:is>
          <x:t xml:space="preserve">En période de croissance, sa priorité est de préparer l’étape suivante.</x:t>
        </x:is>
      </x:c>
      <x:c r="K12" s="30" t="str"/>
      <x:c r="L12" s="30" t="inlineStr">
        <x:is>
          <x:t xml:space="preserve">Il peut être davantage orienté accélération que consolidation.</x:t>
        </x:is>
      </x:c>
      <x:c r="M12" s="30" t="inlineStr">
        <x:is>
          <x:t xml:space="preserve">Quels éléments doivent être sécurisés avant votre prochaine phase de développement ?</x:t>
        </x:is>
      </x:c>
      <x:c r="N12" s="30" t="inlineStr">
        <x:is>
          <x:t xml:space="preserve">Comprendre son rythme d’expansion.</x:t>
        </x:is>
      </x:c>
    </x:row>
    <x:row r="13" ht="41.25" customHeight="1">
      <x:c r="A13" s="30" t="inlineStr">
        <x:is>
          <x:t xml:space="preserve">Q3A</x:t>
        </x:is>
      </x:c>
      <x:c r="B13" s="30" t="inlineStr">
        <x:is>
          <x:t xml:space="preserve">Dirigeant</x:t>
        </x:is>
      </x:c>
      <x:c r="C13" s="30" t="n">
        <x:v>3</x:v>
      </x:c>
      <x:c r="D13" s="30" t="inlineStr">
        <x:is>
          <x:t xml:space="preserve">Vous devez prendre une décision sans avoir toutes les informations. Que faites-vous ?</x:t>
        </x:is>
      </x:c>
      <x:c r="E13" s="30" t="inlineStr">
        <x:is>
          <x:t xml:space="preserve">Je m’appuie sur mon expérience pour choisir la direction qui me paraît juste.</x:t>
        </x:is>
      </x:c>
      <x:c r="F13" s="30" t="inlineStr">
        <x:is>
          <x:t xml:space="preserve">Décision</x:t>
        </x:is>
      </x:c>
      <x:c r="G13" s="30" t="inlineStr">
        <x:is>
          <x:t xml:space="preserve">Signal déclaré</x:t>
        </x:is>
      </x:c>
      <x:c r="H13" s="45" t="n">
        <x:v>0</x:v>
      </x:c>
      <x:c r="I13" s="30" t="inlineStr">
        <x:is>
          <x:t xml:space="preserve">Aucune alerte</x:t>
        </x:is>
      </x:c>
      <x:c r="J13" s="30" t="inlineStr">
        <x:is>
          <x:t xml:space="preserve">En situation d’incertitude, il s’appuie d’abord sur son expérience.</x:t>
        </x:is>
      </x:c>
      <x:c r="K13" s="30" t="str"/>
      <x:c r="L13" s="30" t="inlineStr">
        <x:is>
          <x:t xml:space="preserve">Certaines décisions peuvent dépendre d’informations détenues principalement par le dirigeant.</x:t>
        </x:is>
      </x:c>
      <x:c r="M13" s="30" t="inlineStr">
        <x:is>
          <x:t xml:space="preserve">Quelles informations restent aujourd’hui difficiles à obtenir sans votre expérience personnelle ?</x:t>
        </x:is>
      </x:c>
      <x:c r="N13" s="30" t="inlineStr">
        <x:is>
          <x:t xml:space="preserve">Comprendre la dépendance au dirigeant.</x:t>
        </x:is>
      </x:c>
    </x:row>
    <x:row r="14" ht="41.25" customHeight="1">
      <x:c r="A14" s="30" t="inlineStr">
        <x:is>
          <x:t xml:space="preserve">Q3B</x:t>
        </x:is>
      </x:c>
      <x:c r="B14" s="30" t="inlineStr">
        <x:is>
          <x:t xml:space="preserve">Dirigeant</x:t>
        </x:is>
      </x:c>
      <x:c r="C14" s="30" t="n">
        <x:v>3</x:v>
      </x:c>
      <x:c r="D14" s="30" t="inlineStr">
        <x:is>
          <x:t xml:space="preserve">Vous devez prendre une décision sans avoir toutes les informations. Que faites-vous ?</x:t>
        </x:is>
      </x:c>
      <x:c r="E14" s="30" t="inlineStr">
        <x:is>
          <x:t xml:space="preserve">Je préfère attendre d’avoir des données plus fiables avant de me prononcer.</x:t>
        </x:is>
      </x:c>
      <x:c r="F14" s="30" t="inlineStr">
        <x:is>
          <x:t xml:space="preserve">Décision</x:t>
        </x:is>
      </x:c>
      <x:c r="G14" s="30" t="inlineStr">
        <x:is>
          <x:t xml:space="preserve">Signal déclaré</x:t>
        </x:is>
      </x:c>
      <x:c r="H14" s="45" t="n">
        <x:v>0</x:v>
      </x:c>
      <x:c r="I14" s="30" t="inlineStr">
        <x:is>
          <x:t xml:space="preserve">Aucune alerte</x:t>
        </x:is>
      </x:c>
      <x:c r="J14" s="30" t="inlineStr">
        <x:is>
          <x:t xml:space="preserve">En situation d’incertitude, il attend des données plus fiables.</x:t>
        </x:is>
      </x:c>
      <x:c r="K14" s="30" t="str"/>
      <x:c r="L14" s="30" t="inlineStr">
        <x:is>
          <x:t xml:space="preserve">L’accès ou la qualité des données peut ralentir certaines décisions.</x:t>
        </x:is>
      </x:c>
      <x:c r="M14" s="30" t="inlineStr">
        <x:is>
          <x:t xml:space="preserve">Quelles données vous manquent le plus souvent au moment de décider ?</x:t>
        </x:is>
      </x:c>
      <x:c r="N14" s="30" t="inlineStr">
        <x:is>
          <x:t xml:space="preserve">Identifier les données critiques.</x:t>
        </x:is>
      </x:c>
    </x:row>
    <x:row r="15" ht="41.25" customHeight="1">
      <x:c r="A15" s="30" t="inlineStr">
        <x:is>
          <x:t xml:space="preserve">Q3C</x:t>
        </x:is>
      </x:c>
      <x:c r="B15" s="30" t="inlineStr">
        <x:is>
          <x:t xml:space="preserve">Dirigeant</x:t>
        </x:is>
      </x:c>
      <x:c r="C15" s="30" t="n">
        <x:v>3</x:v>
      </x:c>
      <x:c r="D15" s="30" t="inlineStr">
        <x:is>
          <x:t xml:space="preserve">Vous devez prendre une décision sans avoir toutes les informations. Que faites-vous ?</x:t>
        </x:is>
      </x:c>
      <x:c r="E15" s="30" t="inlineStr">
        <x:is>
          <x:t xml:space="preserve">Je demande l’avis de personnes capables de compléter ma lecture.</x:t>
        </x:is>
      </x:c>
      <x:c r="F15" s="30" t="inlineStr">
        <x:is>
          <x:t xml:space="preserve">Décision</x:t>
        </x:is>
      </x:c>
      <x:c r="G15" s="30" t="inlineStr">
        <x:is>
          <x:t xml:space="preserve">Signal déclaré</x:t>
        </x:is>
      </x:c>
      <x:c r="H15" s="45" t="n">
        <x:v>0</x:v>
      </x:c>
      <x:c r="I15" s="30" t="inlineStr">
        <x:is>
          <x:t xml:space="preserve">Aucune alerte</x:t>
        </x:is>
      </x:c>
      <x:c r="J15" s="30" t="inlineStr">
        <x:is>
          <x:t xml:space="preserve">En situation d’incertitude, il consulte des personnes capables de compléter sa lecture.</x:t>
        </x:is>
      </x:c>
      <x:c r="K15" s="30" t="str"/>
      <x:c r="L15" s="30" t="inlineStr">
        <x:is>
          <x:t xml:space="preserve">La décision repose sur la disponibilité et la fiabilité de plusieurs interlocuteurs.</x:t>
        </x:is>
      </x:c>
      <x:c r="M15" s="30" t="inlineStr">
        <x:is>
          <x:t xml:space="preserve">Comment consolidez-vous les informations reçues de plusieurs personnes ?</x:t>
        </x:is>
      </x:c>
      <x:c r="N15" s="30" t="inlineStr">
        <x:is>
          <x:t xml:space="preserve">Comprendre la circulation de l’information.</x:t>
        </x:is>
      </x:c>
    </x:row>
    <x:row r="16" ht="41.25" customHeight="1">
      <x:c r="A16" s="30" t="inlineStr">
        <x:is>
          <x:t xml:space="preserve">Q3D</x:t>
        </x:is>
      </x:c>
      <x:c r="B16" s="30" t="inlineStr">
        <x:is>
          <x:t xml:space="preserve">Dirigeant</x:t>
        </x:is>
      </x:c>
      <x:c r="C16" s="30" t="n">
        <x:v>3</x:v>
      </x:c>
      <x:c r="D16" s="30" t="inlineStr">
        <x:is>
          <x:t xml:space="preserve">Vous devez prendre une décision sans avoir toutes les informations. Que faites-vous ?</x:t>
        </x:is>
      </x:c>
      <x:c r="E16" s="30" t="inlineStr">
        <x:is>
          <x:t xml:space="preserve">Je lance un test limité pour observer ce qui fonctionne réellement.</x:t>
        </x:is>
      </x:c>
      <x:c r="F16" s="30" t="inlineStr">
        <x:is>
          <x:t xml:space="preserve">Décision</x:t>
        </x:is>
      </x:c>
      <x:c r="G16" s="30" t="inlineStr">
        <x:is>
          <x:t xml:space="preserve">Signal déclaré</x:t>
        </x:is>
      </x:c>
      <x:c r="H16" s="45" t="n">
        <x:v>0</x:v>
      </x:c>
      <x:c r="I16" s="30" t="inlineStr">
        <x:is>
          <x:t xml:space="preserve">Aucune alerte</x:t>
        </x:is>
      </x:c>
      <x:c r="J16" s="30" t="inlineStr">
        <x:is>
          <x:t xml:space="preserve">En situation d’incertitude, il lance un test limité.</x:t>
        </x:is>
      </x:c>
      <x:c r="K16" s="30" t="str"/>
      <x:c r="L16" s="30" t="inlineStr">
        <x:is>
          <x:t xml:space="preserve">Il privilégie l’apprentissage par l’action.</x:t>
        </x:is>
      </x:c>
      <x:c r="M16" s="30" t="inlineStr">
        <x:is>
          <x:t xml:space="preserve">Comment mesurez-vous les résultats d’un test avant de généraliser ?</x:t>
        </x:is>
      </x:c>
      <x:c r="N16" s="30" t="inlineStr">
        <x:is>
          <x:t xml:space="preserve">Comprendre sa méthode de validation.</x:t>
        </x:is>
      </x:c>
    </x:row>
    <x:row r="17" ht="41.25" customHeight="1">
      <x:c r="A17" s="30" t="inlineStr">
        <x:is>
          <x:t xml:space="preserve">Q4A</x:t>
        </x:is>
      </x:c>
      <x:c r="B17" s="30" t="inlineStr">
        <x:is>
          <x:t xml:space="preserve">Dirigeant</x:t>
        </x:is>
      </x:c>
      <x:c r="C17" s="30" t="n">
        <x:v>4</x:v>
      </x:c>
      <x:c r="D17" s="30" t="inlineStr">
        <x:is>
          <x:t xml:space="preserve">Comment suivez-vous généralement les ventes réalisées au cours d’une semaine ?</x:t>
        </x:is>
      </x:c>
      <x:c r="E17" s="30" t="inlineStr">
        <x:is>
          <x:t xml:space="preserve">Je consulte régulièrement un outil qui centralise toutes mes ventes.</x:t>
        </x:is>
      </x:c>
      <x:c r="F17" s="30" t="inlineStr">
        <x:is>
          <x:t xml:space="preserve">Suivi des ventes</x:t>
        </x:is>
      </x:c>
      <x:c r="G17" s="30" t="inlineStr">
        <x:is>
          <x:t xml:space="preserve">Force</x:t>
        </x:is>
      </x:c>
      <x:c r="H17" s="45" t="n">
        <x:v>0</x:v>
      </x:c>
      <x:c r="I17" s="30" t="inlineStr">
        <x:is>
          <x:t xml:space="preserve">Aucune alerte</x:t>
        </x:is>
      </x:c>
      <x:c r="J17" s="30" t="inlineStr">
        <x:is>
          <x:t xml:space="preserve">Les ventes sont suivies régulièrement dans un outil centralisé.</x:t>
        </x:is>
      </x:c>
      <x:c r="K17" s="30" t="str"/>
      <x:c r="L17" s="30" t="str"/>
      <x:c r="M17" s="30" t="inlineStr">
        <x:is>
          <x:t xml:space="preserve">Quelles informations consultez-vous le plus souvent dans cet outil ?</x:t>
        </x:is>
      </x:c>
      <x:c r="N17" s="30" t="inlineStr">
        <x:is>
          <x:t xml:space="preserve">Confirmer la qualité du suivi existant.</x:t>
        </x:is>
      </x:c>
    </x:row>
    <x:row r="18" ht="41.25" customHeight="1">
      <x:c r="A18" s="30" t="inlineStr">
        <x:is>
          <x:t xml:space="preserve">Q4B</x:t>
        </x:is>
      </x:c>
      <x:c r="B18" s="30" t="inlineStr">
        <x:is>
          <x:t xml:space="preserve">Dirigeant</x:t>
        </x:is>
      </x:c>
      <x:c r="C18" s="30" t="n">
        <x:v>4</x:v>
      </x:c>
      <x:c r="D18" s="30" t="inlineStr">
        <x:is>
          <x:t xml:space="preserve">Comment suivez-vous généralement les ventes réalisées au cours d’une semaine ?</x:t>
        </x:is>
      </x:c>
      <x:c r="E18" s="30" t="inlineStr">
        <x:is>
          <x:t xml:space="preserve">Je note les ventes dans un fichier ou un cahier lorsque j’en ai le temps.</x:t>
        </x:is>
      </x:c>
      <x:c r="F18" s="30" t="inlineStr">
        <x:is>
          <x:t xml:space="preserve">Suivi des ventes</x:t>
        </x:is>
      </x:c>
      <x:c r="G18" s="30" t="inlineStr">
        <x:is>
          <x:t xml:space="preserve">Difficulté</x:t>
        </x:is>
      </x:c>
      <x:c r="H18" s="45" t="n">
        <x:v>2</x:v>
      </x:c>
      <x:c r="I18" s="30" t="inlineStr">
        <x:is>
          <x:t xml:space="preserve">Modérée</x:t>
        </x:is>
      </x:c>
      <x:c r="J18" s="30" t="inlineStr">
        <x:is>
          <x:t xml:space="preserve">Les ventes sont notées dans un fichier ou un cahier, mais sans rythme fixe.</x:t>
        </x:is>
      </x:c>
      <x:c r="K18" s="30" t="inlineStr">
        <x:is>
          <x:t xml:space="preserve">Le suivi des ventes est irrégulier.</x:t>
        </x:is>
      </x:c>
      <x:c r="L18" s="30" t="inlineStr">
        <x:is>
          <x:t xml:space="preserve">Certaines ventes peuvent être enregistrées tardivement ou être oubliées.</x:t>
        </x:is>
      </x:c>
      <x:c r="M18" s="30" t="inlineStr">
        <x:is>
          <x:t xml:space="preserve">À quelle fréquence ce fichier ou ce cahier est-il réellement mis à jour ?</x:t>
        </x:is>
      </x:c>
      <x:c r="N18" s="30" t="inlineStr">
        <x:is>
          <x:t xml:space="preserve">Qualifier la régularité du suivi.</x:t>
        </x:is>
      </x:c>
    </x:row>
    <x:row r="19" ht="41.25" customHeight="1">
      <x:c r="A19" s="30" t="inlineStr">
        <x:is>
          <x:t xml:space="preserve">Q4C</x:t>
        </x:is>
      </x:c>
      <x:c r="B19" s="30" t="inlineStr">
        <x:is>
          <x:t xml:space="preserve">Dirigeant</x:t>
        </x:is>
      </x:c>
      <x:c r="C19" s="30" t="n">
        <x:v>4</x:v>
      </x:c>
      <x:c r="D19" s="30" t="inlineStr">
        <x:is>
          <x:t xml:space="preserve">Comment suivez-vous généralement les ventes réalisées au cours d’une semaine ?</x:t>
        </x:is>
      </x:c>
      <x:c r="E19" s="30" t="inlineStr">
        <x:is>
          <x:t xml:space="preserve">Je reconstitue les ventes à partir des messages et des paiements reçus.</x:t>
        </x:is>
      </x:c>
      <x:c r="F19" s="30" t="inlineStr">
        <x:is>
          <x:t xml:space="preserve">Suivi des ventes</x:t>
        </x:is>
      </x:c>
      <x:c r="G19" s="30" t="inlineStr">
        <x:is>
          <x:t xml:space="preserve">Difficulté</x:t>
        </x:is>
      </x:c>
      <x:c r="H19" s="45" t="n">
        <x:v>3</x:v>
      </x:c>
      <x:c r="I19" s="30" t="inlineStr">
        <x:is>
          <x:t xml:space="preserve">Élevée</x:t>
        </x:is>
      </x:c>
      <x:c r="J19" s="30" t="inlineStr">
        <x:is>
          <x:t xml:space="preserve">Les ventes sont reconstituées à partir des messages et des paiements reçus.</x:t>
        </x:is>
      </x:c>
      <x:c r="K19" s="30" t="inlineStr">
        <x:is>
          <x:t xml:space="preserve">Il n’existe pas de registre consolidé des ventes disponible immédiatement.</x:t>
        </x:is>
      </x:c>
      <x:c r="L19" s="30" t="inlineStr">
        <x:is>
          <x:t xml:space="preserve">Le chiffre d’affaires réel d’une période peut être difficile à établir rapidement.</x:t>
        </x:is>
      </x:c>
      <x:c r="M19" s="30" t="inlineStr">
        <x:is>
          <x:t xml:space="preserve">Combien de temps vous faut-il pour reconstituer une semaine complète de ventes ?</x:t>
        </x:is>
      </x:c>
      <x:c r="N19" s="30" t="inlineStr">
        <x:is>
          <x:t xml:space="preserve">Mesurer le coût de la reconstitution.</x:t>
        </x:is>
      </x:c>
    </x:row>
    <x:row r="20" ht="41.25" customHeight="1">
      <x:c r="A20" s="30" t="inlineStr">
        <x:is>
          <x:t xml:space="preserve">Q4D</x:t>
        </x:is>
      </x:c>
      <x:c r="B20" s="30" t="inlineStr">
        <x:is>
          <x:t xml:space="preserve">Dirigeant</x:t>
        </x:is>
      </x:c>
      <x:c r="C20" s="30" t="n">
        <x:v>4</x:v>
      </x:c>
      <x:c r="D20" s="30" t="inlineStr">
        <x:is>
          <x:t xml:space="preserve">Comment suivez-vous généralement les ventes réalisées au cours d’une semaine ?</x:t>
        </x:is>
      </x:c>
      <x:c r="E20" s="30" t="inlineStr">
        <x:is>
          <x:t xml:space="preserve">Je me fie surtout à ce que j’ai vendu et à l’argent encore disponible.</x:t>
        </x:is>
      </x:c>
      <x:c r="F20" s="30" t="inlineStr">
        <x:is>
          <x:t xml:space="preserve">Suivi des ventes</x:t>
        </x:is>
      </x:c>
      <x:c r="G20" s="30" t="inlineStr">
        <x:is>
          <x:t xml:space="preserve">Difficulté</x:t>
        </x:is>
      </x:c>
      <x:c r="H20" s="45" t="n">
        <x:v>3</x:v>
      </x:c>
      <x:c r="I20" s="30" t="inlineStr">
        <x:is>
          <x:t xml:space="preserve">Élevée</x:t>
        </x:is>
      </x:c>
      <x:c r="J20" s="30" t="inlineStr">
        <x:is>
          <x:t xml:space="preserve">Le suivi repose principalement sur la mémoire des ventes et l’argent encore disponible.</x:t>
        </x:is>
      </x:c>
      <x:c r="K20" s="30" t="inlineStr">
        <x:is>
          <x:t xml:space="preserve">Les ventes ne sont pas suivies dans un système formalisé.</x:t>
        </x:is>
      </x:c>
      <x:c r="L20" s="30" t="inlineStr">
        <x:is>
          <x:t xml:space="preserve">Les ventes réalisées, les encaissements et la trésorerie disponible peuvent être confondus.</x:t>
        </x:is>
      </x:c>
      <x:c r="M20" s="30" t="inlineStr">
        <x:is>
          <x:t xml:space="preserve">Comment vérifiez-vous qu’aucune vente n’a été oubliée dans votre estimation ?</x:t>
        </x:is>
      </x:c>
      <x:c r="N20" s="30" t="inlineStr">
        <x:is>
          <x:t xml:space="preserve">Faire préciser la méthode réelle de suivi.</x:t>
        </x:is>
      </x:c>
    </x:row>
    <x:row r="21" ht="41.25" customHeight="1">
      <x:c r="A21" s="30" t="inlineStr">
        <x:is>
          <x:t xml:space="preserve">Q5A</x:t>
        </x:is>
      </x:c>
      <x:c r="B21" s="30" t="inlineStr">
        <x:is>
          <x:t xml:space="preserve">Dirigeant</x:t>
        </x:is>
      </x:c>
      <x:c r="C21" s="30" t="n">
        <x:v>5</x:v>
      </x:c>
      <x:c r="D21" s="30" t="inlineStr">
        <x:is>
          <x:t xml:space="preserve">Le montant encaissé ne correspond pas aux ventes réalisées. Quel est votre premier réflexe ?</x:t>
        </x:is>
      </x:c>
      <x:c r="E21" s="30" t="inlineStr">
        <x:is>
          <x:t xml:space="preserve">Je consulte l’historique des transactions pour retrouver l’origine de l’écart.</x:t>
        </x:is>
      </x:c>
      <x:c r="F21" s="30" t="inlineStr">
        <x:is>
          <x:t xml:space="preserve">Écarts d’encaissement</x:t>
        </x:is>
      </x:c>
      <x:c r="G21" s="30" t="inlineStr">
        <x:is>
          <x:t xml:space="preserve">Force</x:t>
        </x:is>
      </x:c>
      <x:c r="H21" s="45" t="n">
        <x:v>0</x:v>
      </x:c>
      <x:c r="I21" s="30" t="inlineStr">
        <x:is>
          <x:t xml:space="preserve">Aucune alerte</x:t>
        </x:is>
      </x:c>
      <x:c r="J21" s="30" t="inlineStr">
        <x:is>
          <x:t xml:space="preserve">Un écart peut être recherché dans l’historique des transactions.</x:t>
        </x:is>
      </x:c>
      <x:c r="K21" s="30" t="str"/>
      <x:c r="L21" s="30" t="str"/>
      <x:c r="M21" s="30" t="inlineStr">
        <x:is>
          <x:t xml:space="preserve">Combien de temps faut-il généralement pour retrouver l’origine d’un écart ?</x:t>
        </x:is>
      </x:c>
      <x:c r="N21" s="30" t="inlineStr">
        <x:is>
          <x:t xml:space="preserve">Confirmer la profondeur de la traçabilité.</x:t>
        </x:is>
      </x:c>
    </x:row>
    <x:row r="22" ht="41.25" customHeight="1">
      <x:c r="A22" s="30" t="inlineStr">
        <x:is>
          <x:t xml:space="preserve">Q5B</x:t>
        </x:is>
      </x:c>
      <x:c r="B22" s="30" t="inlineStr">
        <x:is>
          <x:t xml:space="preserve">Dirigeant</x:t>
        </x:is>
      </x:c>
      <x:c r="C22" s="30" t="n">
        <x:v>5</x:v>
      </x:c>
      <x:c r="D22" s="30" t="inlineStr">
        <x:is>
          <x:t xml:space="preserve">Le montant encaissé ne correspond pas aux ventes réalisées. Quel est votre premier réflexe ?</x:t>
        </x:is>
      </x:c>
      <x:c r="E22" s="30" t="inlineStr">
        <x:is>
          <x:t xml:space="preserve">Je reprends mon registre de ventes pour identifier ce qui manque.</x:t>
        </x:is>
      </x:c>
      <x:c r="F22" s="30" t="inlineStr">
        <x:is>
          <x:t xml:space="preserve">Écarts d’encaissement</x:t>
        </x:is>
      </x:c>
      <x:c r="G22" s="30" t="inlineStr">
        <x:is>
          <x:t xml:space="preserve">Difficulté</x:t>
        </x:is>
      </x:c>
      <x:c r="H22" s="45" t="n">
        <x:v>1</x:v>
      </x:c>
      <x:c r="I22" s="30" t="inlineStr">
        <x:is>
          <x:t xml:space="preserve">Légère</x:t>
        </x:is>
      </x:c>
      <x:c r="J22" s="30" t="inlineStr">
        <x:is>
          <x:t xml:space="preserve">L’écart est recherché manuellement dans le registre des ventes.</x:t>
        </x:is>
      </x:c>
      <x:c r="K22" s="30" t="inlineStr">
        <x:is>
          <x:t xml:space="preserve">L’explication des écarts dépend d’un rapprochement manuel.</x:t>
        </x:is>
      </x:c>
      <x:c r="L22" s="30" t="inlineStr">
        <x:is>
          <x:t xml:space="preserve">La recherche peut devenir lente lorsque le volume de ventes augmente.</x:t>
        </x:is>
      </x:c>
      <x:c r="M22" s="30" t="inlineStr">
        <x:is>
          <x:t xml:space="preserve">Quelles informations rapprochez-vous pour identifier ce qui manque ?</x:t>
        </x:is>
      </x:c>
      <x:c r="N22" s="30" t="inlineStr">
        <x:is>
          <x:t xml:space="preserve">Comprendre le rapprochement existant.</x:t>
        </x:is>
      </x:c>
    </x:row>
    <x:row r="23" ht="41.25" customHeight="1">
      <x:c r="A23" s="30" t="inlineStr">
        <x:is>
          <x:t xml:space="preserve">Q5C</x:t>
        </x:is>
      </x:c>
      <x:c r="B23" s="30" t="inlineStr">
        <x:is>
          <x:t xml:space="preserve">Dirigeant</x:t>
        </x:is>
      </x:c>
      <x:c r="C23" s="30" t="n">
        <x:v>5</x:v>
      </x:c>
      <x:c r="D23" s="30" t="inlineStr">
        <x:is>
          <x:t xml:space="preserve">Le montant encaissé ne correspond pas aux ventes réalisées. Quel est votre premier réflexe ?</x:t>
        </x:is>
      </x:c>
      <x:c r="E23" s="30" t="inlineStr">
        <x:is>
          <x:t xml:space="preserve">Je demande des explications aux personnes qui ont encaissé.</x:t>
        </x:is>
      </x:c>
      <x:c r="F23" s="30" t="inlineStr">
        <x:is>
          <x:t xml:space="preserve">Écarts d’encaissement</x:t>
        </x:is>
      </x:c>
      <x:c r="G23" s="30" t="inlineStr">
        <x:is>
          <x:t xml:space="preserve">Difficulté</x:t>
        </x:is>
      </x:c>
      <x:c r="H23" s="45" t="n">
        <x:v>2</x:v>
      </x:c>
      <x:c r="I23" s="30" t="inlineStr">
        <x:is>
          <x:t xml:space="preserve">Modérée</x:t>
        </x:is>
      </x:c>
      <x:c r="J23" s="30" t="inlineStr">
        <x:is>
          <x:t xml:space="preserve">L’explication d’un écart dépend d’abord des personnes ayant encaissé.</x:t>
        </x:is>
      </x:c>
      <x:c r="K23" s="30" t="inlineStr">
        <x:is>
          <x:t xml:space="preserve">La traçabilité dépend des explications de l’équipe.</x:t>
        </x:is>
      </x:c>
      <x:c r="L23" s="30" t="inlineStr">
        <x:is>
          <x:t xml:space="preserve">Il peut être difficile de distinguer une erreur, un oubli ou un encaissement non déclaré.</x:t>
        </x:is>
      </x:c>
      <x:c r="M23" s="30" t="inlineStr">
        <x:is>
          <x:t xml:space="preserve">Quelles preuves pouvez-vous consulter lorsque les explications ne concordent pas ?</x:t>
        </x:is>
      </x:c>
      <x:c r="N23" s="30" t="inlineStr">
        <x:is>
          <x:t xml:space="preserve">Tester la traçabilité indépendante de l’équipe.</x:t>
        </x:is>
      </x:c>
    </x:row>
    <x:row r="24" ht="41.25" customHeight="1">
      <x:c r="A24" s="30" t="inlineStr">
        <x:is>
          <x:t xml:space="preserve">Q5D</x:t>
        </x:is>
      </x:c>
      <x:c r="B24" s="30" t="inlineStr">
        <x:is>
          <x:t xml:space="preserve">Dirigeant</x:t>
        </x:is>
      </x:c>
      <x:c r="C24" s="30" t="n">
        <x:v>5</x:v>
      </x:c>
      <x:c r="D24" s="30" t="inlineStr">
        <x:is>
          <x:t xml:space="preserve">Le montant encaissé ne correspond pas aux ventes réalisées. Quel est votre premier réflexe ?</x:t>
        </x:is>
      </x:c>
      <x:c r="E24" s="30" t="inlineStr">
        <x:is>
          <x:t xml:space="preserve">Je n’ai pas toujours les éléments nécessaires pour expliquer immédiatement l’écart.</x:t>
        </x:is>
      </x:c>
      <x:c r="F24" s="30" t="inlineStr">
        <x:is>
          <x:t xml:space="preserve">Écarts d’encaissement</x:t>
        </x:is>
      </x:c>
      <x:c r="G24" s="30" t="inlineStr">
        <x:is>
          <x:t xml:space="preserve">Difficulté</x:t>
        </x:is>
      </x:c>
      <x:c r="H24" s="45" t="n">
        <x:v>3</x:v>
      </x:c>
      <x:c r="I24" s="30" t="inlineStr">
        <x:is>
          <x:t xml:space="preserve">Élevée</x:t>
        </x:is>
      </x:c>
      <x:c r="J24" s="30" t="inlineStr">
        <x:is>
          <x:t xml:space="preserve">Les éléments disponibles ne permettent pas d’expliquer immédiatement un écart.</x:t>
        </x:is>
      </x:c>
      <x:c r="K24" s="30" t="inlineStr">
        <x:is>
          <x:t xml:space="preserve">Certains écarts d’encaissement restent difficiles à retracer.</x:t>
        </x:is>
      </x:c>
      <x:c r="L24" s="30" t="inlineStr">
        <x:is>
          <x:t xml:space="preserve">Des ventes ou paiements peuvent rester sans explication fiable.</x:t>
        </x:is>
      </x:c>
      <x:c r="M24" s="30" t="inlineStr">
        <x:is>
          <x:t xml:space="preserve">Quel est le dernier écart que vous n’avez pas pu expliquer complètement ?</x:t>
        </x:is>
      </x:c>
      <x:c r="N24" s="30" t="inlineStr">
        <x:is>
          <x:t xml:space="preserve">Obtenir un exemple concret d’écart.</x:t>
        </x:is>
      </x:c>
    </x:row>
    <x:row r="25" ht="41.25" customHeight="1">
      <x:c r="A25" s="30" t="inlineStr">
        <x:is>
          <x:t xml:space="preserve">Q6A</x:t>
        </x:is>
      </x:c>
      <x:c r="B25" s="30" t="inlineStr">
        <x:is>
          <x:t xml:space="preserve">Dirigeant</x:t>
        </x:is>
      </x:c>
      <x:c r="C25" s="30" t="n">
        <x:v>6</x:v>
      </x:c>
      <x:c r="D25" s="30" t="inlineStr">
        <x:is>
          <x:t xml:space="preserve">Vos clients utilisent plusieurs moyens de paiement. Comment gardez-vous une vue d’ensemble ?</x:t>
        </x:is>
      </x:c>
      <x:c r="E25" s="30" t="inlineStr">
        <x:is>
          <x:t xml:space="preserve">Je consulte un tableau de bord qui regroupe tous les paiements reçus.</x:t>
        </x:is>
      </x:c>
      <x:c r="F25" s="30" t="inlineStr">
        <x:is>
          <x:t xml:space="preserve">Centralisation des paiements</x:t>
        </x:is>
      </x:c>
      <x:c r="G25" s="30" t="inlineStr">
        <x:is>
          <x:t xml:space="preserve">Force</x:t>
        </x:is>
      </x:c>
      <x:c r="H25" s="45" t="n">
        <x:v>0</x:v>
      </x:c>
      <x:c r="I25" s="30" t="inlineStr">
        <x:is>
          <x:t xml:space="preserve">Aucune alerte</x:t>
        </x:is>
      </x:c>
      <x:c r="J25" s="30" t="inlineStr">
        <x:is>
          <x:t xml:space="preserve">Tous les paiements reçus sont visibles dans un tableau de bord unique.</x:t>
        </x:is>
      </x:c>
      <x:c r="K25" s="30" t="str"/>
      <x:c r="L25" s="30" t="str"/>
      <x:c r="M25" s="30" t="inlineStr">
        <x:is>
          <x:t xml:space="preserve">Quels moyens de paiement sont effectivement couverts par cette vue ?</x:t>
        </x:is>
      </x:c>
      <x:c r="N25" s="30" t="inlineStr">
        <x:is>
          <x:t xml:space="preserve">Confirmer le périmètre de centralisation.</x:t>
        </x:is>
      </x:c>
    </x:row>
    <x:row r="26" ht="41.25" customHeight="1">
      <x:c r="A26" s="30" t="inlineStr">
        <x:is>
          <x:t xml:space="preserve">Q6B</x:t>
        </x:is>
      </x:c>
      <x:c r="B26" s="30" t="inlineStr">
        <x:is>
          <x:t xml:space="preserve">Dirigeant</x:t>
        </x:is>
      </x:c>
      <x:c r="C26" s="30" t="n">
        <x:v>6</x:v>
      </x:c>
      <x:c r="D26" s="30" t="inlineStr">
        <x:is>
          <x:t xml:space="preserve">Vos clients utilisent plusieurs moyens de paiement. Comment gardez-vous une vue d’ensemble ?</x:t>
        </x:is>
      </x:c>
      <x:c r="E26" s="30" t="inlineStr">
        <x:is>
          <x:t xml:space="preserve">Je vérifie séparément le solde de chaque moyen de paiement.</x:t>
        </x:is>
      </x:c>
      <x:c r="F26" s="30" t="inlineStr">
        <x:is>
          <x:t xml:space="preserve">Centralisation des paiements</x:t>
        </x:is>
      </x:c>
      <x:c r="G26" s="30" t="inlineStr">
        <x:is>
          <x:t xml:space="preserve">Difficulté</x:t>
        </x:is>
      </x:c>
      <x:c r="H26" s="45" t="n">
        <x:v>1</x:v>
      </x:c>
      <x:c r="I26" s="30" t="inlineStr">
        <x:is>
          <x:t xml:space="preserve">Légère</x:t>
        </x:is>
      </x:c>
      <x:c r="J26" s="30" t="inlineStr">
        <x:is>
          <x:t xml:space="preserve">Chaque moyen de paiement est consulté séparément.</x:t>
        </x:is>
      </x:c>
      <x:c r="K26" s="30" t="inlineStr">
        <x:is>
          <x:t xml:space="preserve">La vue des encaissements est fragmentée entre plusieurs canaux.</x:t>
        </x:is>
      </x:c>
      <x:c r="L26" s="30" t="inlineStr">
        <x:is>
          <x:t xml:space="preserve">Obtenir un total fiable nécessite plusieurs vérifications.</x:t>
        </x:is>
      </x:c>
      <x:c r="M26" s="30" t="inlineStr">
        <x:is>
          <x:t xml:space="preserve">Combien de comptes ou d’interfaces devez-vous consulter pour faire un point complet ?</x:t>
        </x:is>
      </x:c>
      <x:c r="N26" s="30" t="inlineStr">
        <x:is>
          <x:t xml:space="preserve">Mesurer la dispersion des paiements.</x:t>
        </x:is>
      </x:c>
    </x:row>
    <x:row r="27" ht="41.25" customHeight="1">
      <x:c r="A27" s="30" t="inlineStr">
        <x:is>
          <x:t xml:space="preserve">Q6C</x:t>
        </x:is>
      </x:c>
      <x:c r="B27" s="30" t="inlineStr">
        <x:is>
          <x:t xml:space="preserve">Dirigeant</x:t>
        </x:is>
      </x:c>
      <x:c r="C27" s="30" t="n">
        <x:v>6</x:v>
      </x:c>
      <x:c r="D27" s="30" t="inlineStr">
        <x:is>
          <x:t xml:space="preserve">Vos clients utilisent plusieurs moyens de paiement. Comment gardez-vous une vue d’ensemble ?</x:t>
        </x:is>
      </x:c>
      <x:c r="E27" s="30" t="inlineStr">
        <x:is>
          <x:t xml:space="preserve">Je regroupe manuellement les différents montants à certains moments.</x:t>
        </x:is>
      </x:c>
      <x:c r="F27" s="30" t="inlineStr">
        <x:is>
          <x:t xml:space="preserve">Centralisation des paiements</x:t>
        </x:is>
      </x:c>
      <x:c r="G27" s="30" t="inlineStr">
        <x:is>
          <x:t xml:space="preserve">Difficulté</x:t>
        </x:is>
      </x:c>
      <x:c r="H27" s="45" t="n">
        <x:v>2</x:v>
      </x:c>
      <x:c r="I27" s="30" t="inlineStr">
        <x:is>
          <x:t xml:space="preserve">Modérée</x:t>
        </x:is>
      </x:c>
      <x:c r="J27" s="30" t="inlineStr">
        <x:is>
          <x:t xml:space="preserve">Les montants des différents moyens de paiement sont regroupés manuellement.</x:t>
        </x:is>
      </x:c>
      <x:c r="K27" s="30" t="inlineStr">
        <x:is>
          <x:t xml:space="preserve">La consolidation des encaissements dépend d’un travail manuel.</x:t>
        </x:is>
      </x:c>
      <x:c r="L27" s="30" t="inlineStr">
        <x:is>
          <x:t xml:space="preserve">Le point global peut être tardif et exposé aux erreurs de saisie.</x:t>
        </x:is>
      </x:c>
      <x:c r="M27" s="30" t="inlineStr">
        <x:is>
          <x:t xml:space="preserve">Qui réalise cette consolidation et à quelle fréquence ?</x:t>
        </x:is>
      </x:c>
      <x:c r="N27" s="30" t="inlineStr">
        <x:is>
          <x:t xml:space="preserve">Qualifier le coût de consolidation.</x:t>
        </x:is>
      </x:c>
    </x:row>
    <x:row r="28" ht="41.25" customHeight="1">
      <x:c r="A28" s="30" t="inlineStr">
        <x:is>
          <x:t xml:space="preserve">Q6D</x:t>
        </x:is>
      </x:c>
      <x:c r="B28" s="30" t="inlineStr">
        <x:is>
          <x:t xml:space="preserve">Dirigeant</x:t>
        </x:is>
      </x:c>
      <x:c r="C28" s="30" t="n">
        <x:v>6</x:v>
      </x:c>
      <x:c r="D28" s="30" t="inlineStr">
        <x:is>
          <x:t xml:space="preserve">Vos clients utilisent plusieurs moyens de paiement. Comment gardez-vous une vue d’ensemble ?</x:t>
        </x:is>
      </x:c>
      <x:c r="E28" s="30" t="inlineStr">
        <x:is>
          <x:t xml:space="preserve">Je me base principalement sur les notifications reçues au fil des paiements.</x:t>
        </x:is>
      </x:c>
      <x:c r="F28" s="30" t="inlineStr">
        <x:is>
          <x:t xml:space="preserve">Centralisation des paiements</x:t>
        </x:is>
      </x:c>
      <x:c r="G28" s="30" t="inlineStr">
        <x:is>
          <x:t xml:space="preserve">Difficulté</x:t>
        </x:is>
      </x:c>
      <x:c r="H28" s="45" t="n">
        <x:v>3</x:v>
      </x:c>
      <x:c r="I28" s="30" t="inlineStr">
        <x:is>
          <x:t xml:space="preserve">Élevée</x:t>
        </x:is>
      </x:c>
      <x:c r="J28" s="30" t="inlineStr">
        <x:is>
          <x:t xml:space="preserve">La vue d’ensemble repose surtout sur les notifications reçues.</x:t>
        </x:is>
      </x:c>
      <x:c r="K28" s="30" t="inlineStr">
        <x:is>
          <x:t xml:space="preserve">Il n’existe pas de suivi consolidé fiable des paiements.</x:t>
        </x:is>
      </x:c>
      <x:c r="L28" s="30" t="inlineStr">
        <x:is>
          <x:t xml:space="preserve">Des notifications manquées ou difficiles à rapprocher peuvent fausser la lecture des encaissements.</x:t>
        </x:is>
      </x:c>
      <x:c r="M28" s="30" t="inlineStr">
        <x:is>
          <x:t xml:space="preserve">Comment faites-vous lorsqu’une notification n’arrive pas ou n’est plus disponible ?</x:t>
        </x:is>
      </x:c>
      <x:c r="N28" s="30" t="inlineStr">
        <x:is>
          <x:t xml:space="preserve">Identifier la dépendance aux notifications.</x:t>
        </x:is>
      </x:c>
    </x:row>
    <x:row r="29" ht="41.25" customHeight="1">
      <x:c r="A29" s="30" t="inlineStr">
        <x:is>
          <x:t xml:space="preserve">Q7A</x:t>
        </x:is>
      </x:c>
      <x:c r="B29" s="30" t="inlineStr">
        <x:is>
          <x:t xml:space="preserve">Dirigeant</x:t>
        </x:is>
      </x:c>
      <x:c r="C29" s="30" t="n">
        <x:v>7</x:v>
      </x:c>
      <x:c r="D29" s="30" t="inlineStr">
        <x:is>
          <x:t xml:space="preserve">À quel moment savez-vous réellement ce que votre entreprise peut dépenser ?</x:t>
        </x:is>
      </x:c>
      <x:c r="E29" s="30" t="inlineStr">
        <x:is>
          <x:t xml:space="preserve">Je peux consulter ma trésorerie disponible à tout moment.</x:t>
        </x:is>
      </x:c>
      <x:c r="F29" s="30" t="inlineStr">
        <x:is>
          <x:t xml:space="preserve">Trésorerie</x:t>
        </x:is>
      </x:c>
      <x:c r="G29" s="30" t="inlineStr">
        <x:is>
          <x:t xml:space="preserve">Force</x:t>
        </x:is>
      </x:c>
      <x:c r="H29" s="45" t="n">
        <x:v>0</x:v>
      </x:c>
      <x:c r="I29" s="30" t="inlineStr">
        <x:is>
          <x:t xml:space="preserve">Aucune alerte</x:t>
        </x:is>
      </x:c>
      <x:c r="J29" s="30" t="inlineStr">
        <x:is>
          <x:t xml:space="preserve">La trésorerie disponible peut être consultée à tout moment.</x:t>
        </x:is>
      </x:c>
      <x:c r="K29" s="30" t="str"/>
      <x:c r="L29" s="30" t="str"/>
      <x:c r="M29" s="30" t="inlineStr">
        <x:is>
          <x:t xml:space="preserve">Cette vue tient-elle compte des dépenses engagées et des paiements attendus ?</x:t>
        </x:is>
      </x:c>
      <x:c r="N29" s="30" t="inlineStr">
        <x:is>
          <x:t xml:space="preserve">Confirmer la qualité de la visibilité.</x:t>
        </x:is>
      </x:c>
    </x:row>
    <x:row r="30" ht="41.25" customHeight="1">
      <x:c r="A30" s="30" t="inlineStr">
        <x:is>
          <x:t xml:space="preserve">Q7B</x:t>
        </x:is>
      </x:c>
      <x:c r="B30" s="30" t="inlineStr">
        <x:is>
          <x:t xml:space="preserve">Dirigeant</x:t>
        </x:is>
      </x:c>
      <x:c r="C30" s="30" t="n">
        <x:v>7</x:v>
      </x:c>
      <x:c r="D30" s="30" t="inlineStr">
        <x:is>
          <x:t xml:space="preserve">À quel moment savez-vous réellement ce que votre entreprise peut dépenser ?</x:t>
        </x:is>
      </x:c>
      <x:c r="E30" s="30" t="inlineStr">
        <x:is>
          <x:t xml:space="preserve">Je le sais après avoir fait un point périodique sur mes entrées et mes sorties.</x:t>
        </x:is>
      </x:c>
      <x:c r="F30" s="30" t="inlineStr">
        <x:is>
          <x:t xml:space="preserve">Trésorerie</x:t>
        </x:is>
      </x:c>
      <x:c r="G30" s="30" t="inlineStr">
        <x:is>
          <x:t xml:space="preserve">Difficulté</x:t>
        </x:is>
      </x:c>
      <x:c r="H30" s="45" t="n">
        <x:v>1</x:v>
      </x:c>
      <x:c r="I30" s="30" t="inlineStr">
        <x:is>
          <x:t xml:space="preserve">Légère</x:t>
        </x:is>
      </x:c>
      <x:c r="J30" s="30" t="inlineStr">
        <x:is>
          <x:t xml:space="preserve">La trésorerie est connue après un point périodique sur les entrées et sorties.</x:t>
        </x:is>
      </x:c>
      <x:c r="K30" s="30" t="inlineStr">
        <x:is>
          <x:t xml:space="preserve">La visibilité sur la trésorerie n’est pas continue.</x:t>
        </x:is>
      </x:c>
      <x:c r="L30" s="30" t="inlineStr">
        <x:is>
          <x:t xml:space="preserve">Une décision prise entre deux points peut reposer sur une information ancienne.</x:t>
        </x:is>
      </x:c>
      <x:c r="M30" s="30" t="inlineStr">
        <x:is>
          <x:t xml:space="preserve">À quelle fréquence réalisez-vous ce point et que se passe-t-il entre deux contrôles ?</x:t>
        </x:is>
      </x:c>
      <x:c r="N30" s="30" t="inlineStr">
        <x:is>
          <x:t xml:space="preserve">Mesurer le délai d’information.</x:t>
        </x:is>
      </x:c>
    </x:row>
    <x:row r="31" ht="41.25" customHeight="1">
      <x:c r="A31" s="30" t="inlineStr">
        <x:is>
          <x:t xml:space="preserve">Q7C</x:t>
        </x:is>
      </x:c>
      <x:c r="B31" s="30" t="inlineStr">
        <x:is>
          <x:t xml:space="preserve">Dirigeant</x:t>
        </x:is>
      </x:c>
      <x:c r="C31" s="30" t="n">
        <x:v>7</x:v>
      </x:c>
      <x:c r="D31" s="30" t="inlineStr">
        <x:is>
          <x:t xml:space="preserve">À quel moment savez-vous réellement ce que votre entreprise peut dépenser ?</x:t>
        </x:is>
      </x:c>
      <x:c r="E31" s="30" t="inlineStr">
        <x:is>
          <x:t xml:space="preserve">Je me fie au solde visible sur mes comptes au moment de décider.</x:t>
        </x:is>
      </x:c>
      <x:c r="F31" s="30" t="inlineStr">
        <x:is>
          <x:t xml:space="preserve">Trésorerie</x:t>
        </x:is>
      </x:c>
      <x:c r="G31" s="30" t="inlineStr">
        <x:is>
          <x:t xml:space="preserve">Difficulté</x:t>
        </x:is>
      </x:c>
      <x:c r="H31" s="45" t="n">
        <x:v>2</x:v>
      </x:c>
      <x:c r="I31" s="30" t="inlineStr">
        <x:is>
          <x:t xml:space="preserve">Modérée</x:t>
        </x:is>
      </x:c>
      <x:c r="J31" s="30" t="inlineStr">
        <x:is>
          <x:t xml:space="preserve">La décision de dépenser repose sur le solde visible des comptes.</x:t>
        </x:is>
      </x:c>
      <x:c r="K31" s="30" t="inlineStr">
        <x:is>
          <x:t xml:space="preserve">Le solde des comptes sert de principale mesure de trésorerie disponible.</x:t>
        </x:is>
      </x:c>
      <x:c r="L31" s="30" t="inlineStr">
        <x:is>
          <x:t xml:space="preserve">Les charges à venir ou les montants déjà engagés peuvent ne pas être pris en compte.</x:t>
        </x:is>
      </x:c>
      <x:c r="M31" s="30" t="inlineStr">
        <x:is>
          <x:t xml:space="preserve">Comment tenez-vous compte des dépenses déjà engagées mais pas encore débitées ?</x:t>
        </x:is>
      </x:c>
      <x:c r="N31" s="30" t="inlineStr">
        <x:is>
          <x:t xml:space="preserve">Distinguer solde et trésorerie réellement disponible.</x:t>
        </x:is>
      </x:c>
    </x:row>
    <x:row r="32" ht="41.25" customHeight="1">
      <x:c r="A32" s="30" t="inlineStr">
        <x:is>
          <x:t xml:space="preserve">Q7D</x:t>
        </x:is>
      </x:c>
      <x:c r="B32" s="30" t="inlineStr">
        <x:is>
          <x:t xml:space="preserve">Dirigeant</x:t>
        </x:is>
      </x:c>
      <x:c r="C32" s="30" t="n">
        <x:v>7</x:v>
      </x:c>
      <x:c r="D32" s="30" t="inlineStr">
        <x:is>
          <x:t xml:space="preserve">À quel moment savez-vous réellement ce que votre entreprise peut dépenser ?</x:t>
        </x:is>
      </x:c>
      <x:c r="E32" s="30" t="inlineStr">
        <x:is>
          <x:t xml:space="preserve">Je le découvre surtout lorsqu’une dépense importante doit être réglée.</x:t>
        </x:is>
      </x:c>
      <x:c r="F32" s="30" t="inlineStr">
        <x:is>
          <x:t xml:space="preserve">Trésorerie</x:t>
        </x:is>
      </x:c>
      <x:c r="G32" s="30" t="inlineStr">
        <x:is>
          <x:t xml:space="preserve">Difficulté</x:t>
        </x:is>
      </x:c>
      <x:c r="H32" s="45" t="n">
        <x:v>3</x:v>
      </x:c>
      <x:c r="I32" s="30" t="inlineStr">
        <x:is>
          <x:t xml:space="preserve">Élevée</x:t>
        </x:is>
      </x:c>
      <x:c r="J32" s="30" t="inlineStr">
        <x:is>
          <x:t xml:space="preserve">La capacité à dépenser est découverte lorsqu’une dépense importante arrive.</x:t>
        </x:is>
      </x:c>
      <x:c r="K32" s="30" t="inlineStr">
        <x:is>
          <x:t xml:space="preserve">La trésorerie n’est pas anticipée.</x:t>
        </x:is>
      </x:c>
      <x:c r="L32" s="30" t="inlineStr">
        <x:is>
          <x:t xml:space="preserve">Certaines échéances peuvent créer des tensions inattendues.</x:t>
        </x:is>
      </x:c>
      <x:c r="M32" s="30" t="inlineStr">
        <x:is>
          <x:t xml:space="preserve">Quelle dépense vous a récemment obligé à reconstituer votre situation financière en urgence ?</x:t>
        </x:is>
      </x:c>
      <x:c r="N32" s="30" t="inlineStr">
        <x:is>
          <x:t xml:space="preserve">Faire émerger les tensions de trésorerie.</x:t>
        </x:is>
      </x:c>
    </x:row>
    <x:row r="33" ht="41.25" customHeight="1">
      <x:c r="A33" s="30" t="inlineStr">
        <x:is>
          <x:t xml:space="preserve">Q8A</x:t>
        </x:is>
      </x:c>
      <x:c r="B33" s="30" t="inlineStr">
        <x:is>
          <x:t xml:space="preserve">Dirigeant</x:t>
        </x:is>
      </x:c>
      <x:c r="C33" s="30" t="n">
        <x:v>8</x:v>
      </x:c>
      <x:c r="D33" s="30" t="inlineStr">
        <x:is>
          <x:t xml:space="preserve">Lorsque vient le moment de faire la comptabilité, dans quel état se trouvent vos informations ?</x:t>
        </x:is>
      </x:c>
      <x:c r="E33" s="30" t="inlineStr">
        <x:is>
          <x:t xml:space="preserve">Mes opérations sont déjà enregistrées et peuvent être consultées rapidement.</x:t>
        </x:is>
      </x:c>
      <x:c r="F33" s="30" t="inlineStr">
        <x:is>
          <x:t xml:space="preserve">Comptabilité</x:t>
        </x:is>
      </x:c>
      <x:c r="G33" s="30" t="inlineStr">
        <x:is>
          <x:t xml:space="preserve">Force</x:t>
        </x:is>
      </x:c>
      <x:c r="H33" s="45" t="n">
        <x:v>0</x:v>
      </x:c>
      <x:c r="I33" s="30" t="inlineStr">
        <x:is>
          <x:t xml:space="preserve">Aucune alerte</x:t>
        </x:is>
      </x:c>
      <x:c r="J33" s="30" t="inlineStr">
        <x:is>
          <x:t xml:space="preserve">Les opérations sont déjà enregistrées et rapidement consultables au moment de la comptabilité.</x:t>
        </x:is>
      </x:c>
      <x:c r="K33" s="30" t="str"/>
      <x:c r="L33" s="30" t="str"/>
      <x:c r="M33" s="30" t="inlineStr">
        <x:is>
          <x:t xml:space="preserve">À quelle fréquence ces opérations sont-elles mises à jour ?</x:t>
        </x:is>
      </x:c>
      <x:c r="N33" s="30" t="inlineStr">
        <x:is>
          <x:t xml:space="preserve">Confirmer la disponibilité des données.</x:t>
        </x:is>
      </x:c>
    </x:row>
    <x:row r="34" ht="41.25" customHeight="1">
      <x:c r="A34" s="30" t="inlineStr">
        <x:is>
          <x:t xml:space="preserve">Q8B</x:t>
        </x:is>
      </x:c>
      <x:c r="B34" s="30" t="inlineStr">
        <x:is>
          <x:t xml:space="preserve">Dirigeant</x:t>
        </x:is>
      </x:c>
      <x:c r="C34" s="30" t="n">
        <x:v>8</x:v>
      </x:c>
      <x:c r="D34" s="30" t="inlineStr">
        <x:is>
          <x:t xml:space="preserve">Lorsque vient le moment de faire la comptabilité, dans quel état se trouvent vos informations ?</x:t>
        </x:is>
      </x:c>
      <x:c r="E34" s="30" t="inlineStr">
        <x:is>
          <x:t xml:space="preserve">Mes justificatifs sont conservés, mais je dois encore les organiser.</x:t>
        </x:is>
      </x:c>
      <x:c r="F34" s="30" t="inlineStr">
        <x:is>
          <x:t xml:space="preserve">Comptabilité</x:t>
        </x:is>
      </x:c>
      <x:c r="G34" s="30" t="inlineStr">
        <x:is>
          <x:t xml:space="preserve">Difficulté</x:t>
        </x:is>
      </x:c>
      <x:c r="H34" s="45" t="n">
        <x:v>1</x:v>
      </x:c>
      <x:c r="I34" s="30" t="inlineStr">
        <x:is>
          <x:t xml:space="preserve">Légère</x:t>
        </x:is>
      </x:c>
      <x:c r="J34" s="30" t="inlineStr">
        <x:is>
          <x:t xml:space="preserve">Les justificatifs existent, mais doivent encore être organisés.</x:t>
        </x:is>
      </x:c>
      <x:c r="K34" s="30" t="inlineStr">
        <x:is>
          <x:t xml:space="preserve">La préparation comptable nécessite un travail de classement.</x:t>
        </x:is>
      </x:c>
      <x:c r="L34" s="30" t="inlineStr">
        <x:is>
          <x:t xml:space="preserve">Des justificatifs peuvent être difficiles à rattacher aux bonnes opérations.</x:t>
        </x:is>
      </x:c>
      <x:c r="M34" s="30" t="inlineStr">
        <x:is>
          <x:t xml:space="preserve">Comment reliez-vous chaque justificatif au paiement ou à la vente correspondante ?</x:t>
        </x:is>
      </x:c>
      <x:c r="N34" s="30" t="inlineStr">
        <x:is>
          <x:t xml:space="preserve">Comprendre l’organisation documentaire.</x:t>
        </x:is>
      </x:c>
    </x:row>
    <x:row r="35" ht="41.25" customHeight="1">
      <x:c r="A35" s="30" t="inlineStr">
        <x:is>
          <x:t xml:space="preserve">Q8C</x:t>
        </x:is>
      </x:c>
      <x:c r="B35" s="30" t="inlineStr">
        <x:is>
          <x:t xml:space="preserve">Dirigeant</x:t>
        </x:is>
      </x:c>
      <x:c r="C35" s="30" t="n">
        <x:v>8</x:v>
      </x:c>
      <x:c r="D35" s="30" t="inlineStr">
        <x:is>
          <x:t xml:space="preserve">Lorsque vient le moment de faire la comptabilité, dans quel état se trouvent vos informations ?</x:t>
        </x:is>
      </x:c>
      <x:c r="E35" s="30" t="inlineStr">
        <x:is>
          <x:t xml:space="preserve">Je rassemble les informations nécessaires à l’approche de l’échéance.</x:t>
        </x:is>
      </x:c>
      <x:c r="F35" s="30" t="inlineStr">
        <x:is>
          <x:t xml:space="preserve">Comptabilité</x:t>
        </x:is>
      </x:c>
      <x:c r="G35" s="30" t="inlineStr">
        <x:is>
          <x:t xml:space="preserve">Difficulté</x:t>
        </x:is>
      </x:c>
      <x:c r="H35" s="45" t="n">
        <x:v>2</x:v>
      </x:c>
      <x:c r="I35" s="30" t="inlineStr">
        <x:is>
          <x:t xml:space="preserve">Modérée</x:t>
        </x:is>
      </x:c>
      <x:c r="J35" s="30" t="inlineStr">
        <x:is>
          <x:t xml:space="preserve">Les informations sont rassemblées à l’approche de l’échéance comptable.</x:t>
        </x:is>
      </x:c>
      <x:c r="K35" s="30" t="inlineStr">
        <x:is>
          <x:t xml:space="preserve">La préparation comptable est tardive.</x:t>
        </x:is>
      </x:c>
      <x:c r="L35" s="30" t="inlineStr">
        <x:is>
          <x:t xml:space="preserve">Les erreurs ou informations manquantes sont découvertes au dernier moment.</x:t>
        </x:is>
      </x:c>
      <x:c r="M35" s="30" t="inlineStr">
        <x:is>
          <x:t xml:space="preserve">Combien de jours sont consacrés à rassembler les informations avant l’échéance ?</x:t>
        </x:is>
      </x:c>
      <x:c r="N35" s="30" t="inlineStr">
        <x:is>
          <x:t xml:space="preserve">Mesurer la charge de préparation.</x:t>
        </x:is>
      </x:c>
    </x:row>
    <x:row r="36" ht="41.25" customHeight="1">
      <x:c r="A36" s="30" t="inlineStr">
        <x:is>
          <x:t xml:space="preserve">Q8D</x:t>
        </x:is>
      </x:c>
      <x:c r="B36" s="30" t="inlineStr">
        <x:is>
          <x:t xml:space="preserve">Dirigeant</x:t>
        </x:is>
      </x:c>
      <x:c r="C36" s="30" t="n">
        <x:v>8</x:v>
      </x:c>
      <x:c r="D36" s="30" t="inlineStr">
        <x:is>
          <x:t xml:space="preserve">Lorsque vient le moment de faire la comptabilité, dans quel état se trouvent vos informations ?</x:t>
        </x:is>
      </x:c>
      <x:c r="E36" s="30" t="inlineStr">
        <x:is>
          <x:t xml:space="preserve">Je dois souvent reconstituer certaines opérations après leur réalisation.</x:t>
        </x:is>
      </x:c>
      <x:c r="F36" s="30" t="inlineStr">
        <x:is>
          <x:t xml:space="preserve">Comptabilité</x:t>
        </x:is>
      </x:c>
      <x:c r="G36" s="30" t="inlineStr">
        <x:is>
          <x:t xml:space="preserve">Difficulté</x:t>
        </x:is>
      </x:c>
      <x:c r="H36" s="45" t="n">
        <x:v>3</x:v>
      </x:c>
      <x:c r="I36" s="30" t="inlineStr">
        <x:is>
          <x:t xml:space="preserve">Élevée</x:t>
        </x:is>
      </x:c>
      <x:c r="J36" s="30" t="inlineStr">
        <x:is>
          <x:t xml:space="preserve">Certaines opérations doivent être reconstituées après leur réalisation.</x:t>
        </x:is>
      </x:c>
      <x:c r="K36" s="30" t="inlineStr">
        <x:is>
          <x:t xml:space="preserve">La comptabilité dépend de reconstitutions a posteriori.</x:t>
        </x:is>
      </x:c>
      <x:c r="L36" s="30" t="inlineStr">
        <x:is>
          <x:t xml:space="preserve">Des opérations peuvent rester mal documentées ou être enregistrées avec retard.</x:t>
        </x:is>
      </x:c>
      <x:c r="M36" s="30" t="inlineStr">
        <x:is>
          <x:t xml:space="preserve">Quelles opérations sont les plus difficiles à reconstituer en fin de période ?</x:t>
        </x:is>
      </x:c>
      <x:c r="N36" s="30" t="inlineStr">
        <x:is>
          <x:t xml:space="preserve">Identifier les principales pertes d’information.</x:t>
        </x:is>
      </x:c>
    </x:row>
    <x:row r="37" ht="41.25" customHeight="1">
      <x:c r="A37" s="30" t="inlineStr">
        <x:is>
          <x:t xml:space="preserve">Q9A</x:t>
        </x:is>
      </x:c>
      <x:c r="B37" s="30" t="inlineStr">
        <x:is>
          <x:t xml:space="preserve">Dirigeant</x:t>
        </x:is>
      </x:c>
      <x:c r="C37" s="30" t="n">
        <x:v>9</x:v>
      </x:c>
      <x:c r="D37" s="30" t="inlineStr">
        <x:is>
          <x:t xml:space="preserve">Lorsque d’autres personnes encaissent pour votre entreprise, comment suivez-vous leur activité ?</x:t>
        </x:is>
      </x:c>
      <x:c r="E37" s="30" t="inlineStr">
        <x:is>
          <x:t xml:space="preserve">Chaque encaissement peut être rattaché à une vente et à la personne concernée.</x:t>
        </x:is>
      </x:c>
      <x:c r="F37" s="30" t="inlineStr">
        <x:is>
          <x:t xml:space="preserve">Délégation des encaissements</x:t>
        </x:is>
      </x:c>
      <x:c r="G37" s="30" t="inlineStr">
        <x:is>
          <x:t xml:space="preserve">Force</x:t>
        </x:is>
      </x:c>
      <x:c r="H37" s="45" t="n">
        <x:v>0</x:v>
      </x:c>
      <x:c r="I37" s="30" t="inlineStr">
        <x:is>
          <x:t xml:space="preserve">Aucune alerte</x:t>
        </x:is>
      </x:c>
      <x:c r="J37" s="30" t="inlineStr">
        <x:is>
          <x:t xml:space="preserve">Chaque encaissement peut être relié à une vente et à la personne concernée.</x:t>
        </x:is>
      </x:c>
      <x:c r="K37" s="30" t="str"/>
      <x:c r="L37" s="30" t="str"/>
      <x:c r="M37" s="30" t="inlineStr">
        <x:is>
          <x:t xml:space="preserve">Comment contrôlez-vous les écarts par personne ou par point de vente ?</x:t>
        </x:is>
      </x:c>
      <x:c r="N37" s="30" t="inlineStr">
        <x:is>
          <x:t xml:space="preserve">Confirmer le niveau de contrôle.</x:t>
        </x:is>
      </x:c>
    </x:row>
    <x:row r="38" ht="41.25" customHeight="1">
      <x:c r="A38" s="30" t="inlineStr">
        <x:is>
          <x:t xml:space="preserve">Q9B</x:t>
        </x:is>
      </x:c>
      <x:c r="B38" s="30" t="inlineStr">
        <x:is>
          <x:t xml:space="preserve">Dirigeant</x:t>
        </x:is>
      </x:c>
      <x:c r="C38" s="30" t="n">
        <x:v>9</x:v>
      </x:c>
      <x:c r="D38" s="30" t="inlineStr">
        <x:is>
          <x:t xml:space="preserve">Lorsque d’autres personnes encaissent pour votre entreprise, comment suivez-vous leur activité ?</x:t>
        </x:is>
      </x:c>
      <x:c r="E38" s="30" t="inlineStr">
        <x:is>
          <x:t xml:space="preserve">Les personnes concernées enregistrent leurs encaissements dans un support commun.</x:t>
        </x:is>
      </x:c>
      <x:c r="F38" s="30" t="inlineStr">
        <x:is>
          <x:t xml:space="preserve">Délégation des encaissements</x:t>
        </x:is>
      </x:c>
      <x:c r="G38" s="30" t="inlineStr">
        <x:is>
          <x:t xml:space="preserve">Difficulté</x:t>
        </x:is>
      </x:c>
      <x:c r="H38" s="45" t="n">
        <x:v>1</x:v>
      </x:c>
      <x:c r="I38" s="30" t="inlineStr">
        <x:is>
          <x:t xml:space="preserve">Légère</x:t>
        </x:is>
      </x:c>
      <x:c r="J38" s="30" t="inlineStr">
        <x:is>
          <x:t xml:space="preserve">Les collaborateurs enregistrent leurs encaissements dans un support commun.</x:t>
        </x:is>
      </x:c>
      <x:c r="K38" s="30" t="inlineStr">
        <x:is>
          <x:t xml:space="preserve">Le contrôle dépend de la qualité de mise à jour d’un support partagé.</x:t>
        </x:is>
      </x:c>
      <x:c r="L38" s="30" t="inlineStr">
        <x:is>
          <x:t xml:space="preserve">Un encaissement mal saisi peut être difficile à attribuer ensuite.</x:t>
        </x:is>
      </x:c>
      <x:c r="M38" s="30" t="inlineStr">
        <x:is>
          <x:t xml:space="preserve">Le support permet-il d’identifier automatiquement la personne, l’heure et la vente concernée ?</x:t>
        </x:is>
      </x:c>
      <x:c r="N38" s="30" t="inlineStr">
        <x:is>
          <x:t xml:space="preserve">Vérifier la granularité du suivi.</x:t>
        </x:is>
      </x:c>
    </x:row>
    <x:row r="39" ht="41.25" customHeight="1">
      <x:c r="A39" s="30" t="inlineStr">
        <x:is>
          <x:t xml:space="preserve">Q9C</x:t>
        </x:is>
      </x:c>
      <x:c r="B39" s="30" t="inlineStr">
        <x:is>
          <x:t xml:space="preserve">Dirigeant</x:t>
        </x:is>
      </x:c>
      <x:c r="C39" s="30" t="n">
        <x:v>9</x:v>
      </x:c>
      <x:c r="D39" s="30" t="inlineStr">
        <x:is>
          <x:t xml:space="preserve">Lorsque d’autres personnes encaissent pour votre entreprise, comment suivez-vous leur activité ?</x:t>
        </x:is>
      </x:c>
      <x:c r="E39" s="30" t="inlineStr">
        <x:is>
          <x:t xml:space="preserve">Je reçois principalement un point oral ou un montant global en fin de journée.</x:t>
        </x:is>
      </x:c>
      <x:c r="F39" s="30" t="inlineStr">
        <x:is>
          <x:t xml:space="preserve">Délégation des encaissements</x:t>
        </x:is>
      </x:c>
      <x:c r="G39" s="30" t="inlineStr">
        <x:is>
          <x:t xml:space="preserve">Difficulté</x:t>
        </x:is>
      </x:c>
      <x:c r="H39" s="45" t="n">
        <x:v>3</x:v>
      </x:c>
      <x:c r="I39" s="30" t="inlineStr">
        <x:is>
          <x:t xml:space="preserve">Élevée</x:t>
        </x:is>
      </x:c>
      <x:c r="J39" s="30" t="inlineStr">
        <x:is>
          <x:t xml:space="preserve">Le suivi repose surtout sur un point oral ou un montant global en fin de journée.</x:t>
        </x:is>
      </x:c>
      <x:c r="K39" s="30" t="inlineStr">
        <x:is>
          <x:t xml:space="preserve">Les encaissements délégués manquent de traçabilité détaillée.</x:t>
        </x:is>
      </x:c>
      <x:c r="L39" s="30" t="inlineStr">
        <x:is>
          <x:t xml:space="preserve">Des ventes non déclarées, erreurs ou détournements peuvent être difficiles à identifier.</x:t>
        </x:is>
      </x:c>
      <x:c r="M39" s="30" t="inlineStr">
        <x:is>
          <x:t xml:space="preserve">Comment vérifiez-vous le montant annoncé lorsqu’il ne correspond pas aux ventes ?</x:t>
        </x:is>
      </x:c>
      <x:c r="N39" s="30" t="inlineStr">
        <x:is>
          <x:t xml:space="preserve">Faire préciser les contrôles réels.</x:t>
        </x:is>
      </x:c>
    </x:row>
    <x:row r="40" ht="41.25" customHeight="1">
      <x:c r="A40" s="30" t="inlineStr">
        <x:is>
          <x:t xml:space="preserve">Q9D</x:t>
        </x:is>
      </x:c>
      <x:c r="B40" s="30" t="inlineStr">
        <x:is>
          <x:t xml:space="preserve">Dirigeant</x:t>
        </x:is>
      </x:c>
      <x:c r="C40" s="30" t="n">
        <x:v>9</x:v>
      </x:c>
      <x:c r="D40" s="30" t="inlineStr">
        <x:is>
          <x:t xml:space="preserve">Lorsque d’autres personnes encaissent pour votre entreprise, comment suivez-vous leur activité ?</x:t>
        </x:is>
      </x:c>
      <x:c r="E40" s="30" t="inlineStr">
        <x:is>
          <x:t xml:space="preserve">Pour le moment, je suis la seule personne à encaisser dans mon entreprise.</x:t>
        </x:is>
      </x:c>
      <x:c r="F40" s="30" t="inlineStr">
        <x:is>
          <x:t xml:space="preserve">Délégation des encaissements</x:t>
        </x:is>
      </x:c>
      <x:c r="G40" s="30" t="inlineStr">
        <x:is>
          <x:t xml:space="preserve">Contexte</x:t>
        </x:is>
      </x:c>
      <x:c r="H40" s="45" t="n">
        <x:v>0</x:v>
      </x:c>
      <x:c r="I40" s="30" t="inlineStr">
        <x:is>
          <x:t xml:space="preserve">Aucune alerte</x:t>
        </x:is>
      </x:c>
      <x:c r="J40" s="30" t="inlineStr">
        <x:is>
          <x:t xml:space="preserve">Le dirigeant est actuellement la seule personne à encaisser.</x:t>
        </x:is>
      </x:c>
      <x:c r="K40" s="30" t="str"/>
      <x:c r="L40" s="30" t="inlineStr">
        <x:is>
          <x:t xml:space="preserve">La délégation n’est pas encore un sujet observable dans la situation actuelle.</x:t>
        </x:is>
      </x:c>
      <x:c r="M40" s="30" t="inlineStr">
        <x:is>
          <x:t xml:space="preserve">Prévoyez-vous que d’autres personnes encaissent prochainement ?</x:t>
        </x:is>
      </x:c>
      <x:c r="N40" s="30" t="inlineStr">
        <x:is>
          <x:t xml:space="preserve">Identifier un éventuel besoin futur sans pénaliser le score.</x:t>
        </x:is>
      </x:c>
    </x:row>
    <x:row r="41" ht="41.25" customHeight="1">
      <x:c r="A41" s="30" t="inlineStr">
        <x:is>
          <x:t xml:space="preserve">Q10A</x:t>
        </x:is>
      </x:c>
      <x:c r="B41" s="30" t="inlineStr">
        <x:is>
          <x:t xml:space="preserve">Dirigeant</x:t>
        </x:is>
      </x:c>
      <x:c r="C41" s="30" t="n">
        <x:v>10</x:v>
      </x:c>
      <x:c r="D41" s="30" t="inlineStr">
        <x:is>
          <x:t xml:space="preserve">Lorsqu’un client souhaite vous payer à distance, comment procédez-vous généralement ?</x:t>
        </x:is>
      </x:c>
      <x:c r="E41" s="30" t="inlineStr">
        <x:is>
          <x:t xml:space="preserve">Je lui transmets un lien ou une page de paiement prévue à cet effet.</x:t>
        </x:is>
      </x:c>
      <x:c r="F41" s="30" t="inlineStr">
        <x:is>
          <x:t xml:space="preserve">Paiement à distance</x:t>
        </x:is>
      </x:c>
      <x:c r="G41" s="30" t="inlineStr">
        <x:is>
          <x:t xml:space="preserve">Force</x:t>
        </x:is>
      </x:c>
      <x:c r="H41" s="45" t="n">
        <x:v>0</x:v>
      </x:c>
      <x:c r="I41" s="30" t="inlineStr">
        <x:is>
          <x:t xml:space="preserve">Aucune alerte</x:t>
        </x:is>
      </x:c>
      <x:c r="J41" s="30" t="inlineStr">
        <x:is>
          <x:t xml:space="preserve">Un lien ou une page de paiement est déjà utilisé pour encaisser à distance.</x:t>
        </x:is>
      </x:c>
      <x:c r="K41" s="30" t="str"/>
      <x:c r="L41" s="30" t="str"/>
      <x:c r="M41" s="30" t="inlineStr">
        <x:is>
          <x:t xml:space="preserve">Comment rapprochez-vous ces paiements des commandes correspondantes ?</x:t>
        </x:is>
      </x:c>
      <x:c r="N41" s="30" t="inlineStr">
        <x:is>
          <x:t xml:space="preserve">Confirmer la qualité du parcours à distance.</x:t>
        </x:is>
      </x:c>
    </x:row>
    <x:row r="42" ht="41.25" customHeight="1">
      <x:c r="A42" s="30" t="inlineStr">
        <x:is>
          <x:t xml:space="preserve">Q10B</x:t>
        </x:is>
      </x:c>
      <x:c r="B42" s="30" t="inlineStr">
        <x:is>
          <x:t xml:space="preserve">Dirigeant</x:t>
        </x:is>
      </x:c>
      <x:c r="C42" s="30" t="n">
        <x:v>10</x:v>
      </x:c>
      <x:c r="D42" s="30" t="inlineStr">
        <x:is>
          <x:t xml:space="preserve">Lorsqu’un client souhaite vous payer à distance, comment procédez-vous généralement ?</x:t>
        </x:is>
      </x:c>
      <x:c r="E42" s="30" t="inlineStr">
        <x:is>
          <x:t xml:space="preserve">Je lui communique un numéro après avoir échangé avec lui.</x:t>
        </x:is>
      </x:c>
      <x:c r="F42" s="30" t="inlineStr">
        <x:is>
          <x:t xml:space="preserve">Paiement à distance</x:t>
        </x:is>
      </x:c>
      <x:c r="G42" s="30" t="inlineStr">
        <x:is>
          <x:t xml:space="preserve">Difficulté</x:t>
        </x:is>
      </x:c>
      <x:c r="H42" s="45" t="n">
        <x:v>1</x:v>
      </x:c>
      <x:c r="I42" s="30" t="inlineStr">
        <x:is>
          <x:t xml:space="preserve">Légère</x:t>
        </x:is>
      </x:c>
      <x:c r="J42" s="30" t="inlineStr">
        <x:is>
          <x:t xml:space="preserve">Le paiement à distance nécessite de communiquer manuellement un numéro au client.</x:t>
        </x:is>
      </x:c>
      <x:c r="K42" s="30" t="inlineStr">
        <x:is>
          <x:t xml:space="preserve">Le parcours de paiement dépend d’un échange manuel.</x:t>
        </x:is>
      </x:c>
      <x:c r="L42" s="30" t="inlineStr">
        <x:is>
          <x:t xml:space="preserve">La vérification et le rapprochement peuvent être plus longs lorsque les demandes augmentent.</x:t>
        </x:is>
      </x:c>
      <x:c r="M42" s="30" t="inlineStr">
        <x:is>
          <x:t xml:space="preserve">Que se passe-t-il entre la demande du client et la confirmation définitive du paiement ?</x:t>
        </x:is>
      </x:c>
      <x:c r="N42" s="30" t="inlineStr">
        <x:is>
          <x:t xml:space="preserve">Cartographier le parcours manuel.</x:t>
        </x:is>
      </x:c>
    </x:row>
    <x:row r="43" ht="41.25" customHeight="1">
      <x:c r="A43" s="30" t="inlineStr">
        <x:is>
          <x:t xml:space="preserve">Q10C</x:t>
        </x:is>
      </x:c>
      <x:c r="B43" s="30" t="inlineStr">
        <x:is>
          <x:t xml:space="preserve">Dirigeant</x:t>
        </x:is>
      </x:c>
      <x:c r="C43" s="30" t="n">
        <x:v>10</x:v>
      </x:c>
      <x:c r="D43" s="30" t="inlineStr">
        <x:is>
          <x:t xml:space="preserve">Lorsqu’un client souhaite vous payer à distance, comment procédez-vous généralement ?</x:t>
        </x:is>
      </x:c>
      <x:c r="E43" s="30" t="inlineStr">
        <x:is>
          <x:t xml:space="preserve">Je privilégie encore le paiement à la livraison ou lors d’une rencontre.</x:t>
        </x:is>
      </x:c>
      <x:c r="F43" s="30" t="inlineStr">
        <x:is>
          <x:t xml:space="preserve">Paiement à distance</x:t>
        </x:is>
      </x:c>
      <x:c r="G43" s="30" t="inlineStr">
        <x:is>
          <x:t xml:space="preserve">Difficulté</x:t>
        </x:is>
      </x:c>
      <x:c r="H43" s="45" t="n">
        <x:v>2</x:v>
      </x:c>
      <x:c r="I43" s="30" t="inlineStr">
        <x:is>
          <x:t xml:space="preserve">Modérée</x:t>
        </x:is>
      </x:c>
      <x:c r="J43" s="30" t="inlineStr">
        <x:is>
          <x:t xml:space="preserve">Le paiement est encore privilégié à la livraison ou lors d’une rencontre.</x:t>
        </x:is>
      </x:c>
      <x:c r="K43" s="30" t="inlineStr">
        <x:is>
          <x:t xml:space="preserve">Les ventes à distance dépendent d’une présence physique ou de la livraison.</x:t>
        </x:is>
      </x:c>
      <x:c r="L43" s="30" t="inlineStr">
        <x:is>
          <x:t xml:space="preserve">Certains clients peuvent abandonner avant la finalisation de la vente.</x:t>
        </x:is>
      </x:c>
      <x:c r="M43" s="30" t="inlineStr">
        <x:is>
          <x:t xml:space="preserve">Combien de commandes n’aboutissent pas parce que le paiement doit attendre la livraison ou une rencontre ?</x:t>
        </x:is>
      </x:c>
      <x:c r="N43" s="30" t="inlineStr">
        <x:is>
          <x:t xml:space="preserve">Évaluer les pertes liées au paiement tardif.</x:t>
        </x:is>
      </x:c>
    </x:row>
    <x:row r="44" ht="41.25" customHeight="1">
      <x:c r="A44" s="30" t="inlineStr">
        <x:is>
          <x:t xml:space="preserve">Q10D</x:t>
        </x:is>
      </x:c>
      <x:c r="B44" s="30" t="inlineStr">
        <x:is>
          <x:t xml:space="preserve">Dirigeant</x:t>
        </x:is>
      </x:c>
      <x:c r="C44" s="30" t="n">
        <x:v>10</x:v>
      </x:c>
      <x:c r="D44" s="30" t="inlineStr">
        <x:is>
          <x:t xml:space="preserve">Lorsqu’un client souhaite vous payer à distance, comment procédez-vous généralement ?</x:t>
        </x:is>
      </x:c>
      <x:c r="E44" s="30" t="inlineStr">
        <x:is>
          <x:t xml:space="preserve">Je ne propose pas encore de moyen de paiement à distance.</x:t>
        </x:is>
      </x:c>
      <x:c r="F44" s="30" t="inlineStr">
        <x:is>
          <x:t xml:space="preserve">Paiement à distance</x:t>
        </x:is>
      </x:c>
      <x:c r="G44" s="30" t="inlineStr">
        <x:is>
          <x:t xml:space="preserve">Difficulté</x:t>
        </x:is>
      </x:c>
      <x:c r="H44" s="45" t="n">
        <x:v>3</x:v>
      </x:c>
      <x:c r="I44" s="30" t="inlineStr">
        <x:is>
          <x:t xml:space="preserve">Élevée</x:t>
        </x:is>
      </x:c>
      <x:c r="J44" s="30" t="inlineStr">
        <x:is>
          <x:t xml:space="preserve">Aucun moyen de paiement à distance n’est proposé.</x:t>
        </x:is>
      </x:c>
      <x:c r="K44" s="30" t="inlineStr">
        <x:is>
          <x:t xml:space="preserve">L’entreprise ne peut pas encaisser un client à distance de manière organisée.</x:t>
        </x:is>
      </x:c>
      <x:c r="L44" s="30" t="inlineStr">
        <x:is>
          <x:t xml:space="preserve">La zone de vente et les possibilités de finalisation immédiate sont limitées.</x:t>
        </x:is>
      </x:c>
      <x:c r="M44" s="30" t="inlineStr">
        <x:is>
          <x:t xml:space="preserve">Que faites-vous lorsqu’un client éloigné veut acheter immédiatement ?</x:t>
        </x:is>
      </x:c>
      <x:c r="N44" s="30" t="inlineStr">
        <x:is>
          <x:t xml:space="preserve">Mesurer l’impact commercial de l’absence de paiement à distance.</x:t>
        </x:is>
      </x:c>
    </x:row>
    <x:row r="45" ht="41.25" customHeight="1">
      <x:c r="A45" s="30" t="inlineStr">
        <x:is>
          <x:t xml:space="preserve">Q11A</x:t>
        </x:is>
      </x:c>
      <x:c r="B45" s="30" t="inlineStr">
        <x:is>
          <x:t xml:space="preserve">Dirigeant</x:t>
        </x:is>
      </x:c>
      <x:c r="C45" s="30" t="n">
        <x:v>11</x:v>
      </x:c>
      <x:c r="D45" s="30" t="inlineStr">
        <x:is>
          <x:t xml:space="preserve">Quelle place le digital occupe-t-il actuellement dans vos ventes ?</x:t>
        </x:is>
      </x:c>
      <x:c r="E45" s="30" t="inlineStr">
        <x:is>
          <x:t xml:space="preserve">Mon site permet aux clients de commander et de payer directement.</x:t>
        </x:is>
      </x:c>
      <x:c r="F45" s="30" t="inlineStr">
        <x:is>
          <x:t xml:space="preserve">Parcours de vente digital</x:t>
        </x:is>
      </x:c>
      <x:c r="G45" s="30" t="inlineStr">
        <x:is>
          <x:t xml:space="preserve">Force</x:t>
        </x:is>
      </x:c>
      <x:c r="H45" s="45" t="n">
        <x:v>0</x:v>
      </x:c>
      <x:c r="I45" s="30" t="inlineStr">
        <x:is>
          <x:t xml:space="preserve">Aucune alerte</x:t>
        </x:is>
      </x:c>
      <x:c r="J45" s="30" t="inlineStr">
        <x:is>
          <x:t xml:space="preserve">Le site permet déjà de commander et de payer directement.</x:t>
        </x:is>
      </x:c>
      <x:c r="K45" s="30" t="str"/>
      <x:c r="L45" s="30" t="str"/>
      <x:c r="M45" s="30" t="inlineStr">
        <x:is>
          <x:t xml:space="preserve">À quel endroit du parcours observez-vous le plus d’abandons ?</x:t>
        </x:is>
      </x:c>
      <x:c r="N45" s="30" t="inlineStr">
        <x:is>
          <x:t xml:space="preserve">Comprendre la performance du parcours existant.</x:t>
        </x:is>
      </x:c>
    </x:row>
    <x:row r="46" ht="41.25" customHeight="1">
      <x:c r="A46" s="30" t="inlineStr">
        <x:is>
          <x:t xml:space="preserve">Q11B</x:t>
        </x:is>
      </x:c>
      <x:c r="B46" s="30" t="inlineStr">
        <x:is>
          <x:t xml:space="preserve">Dirigeant</x:t>
        </x:is>
      </x:c>
      <x:c r="C46" s="30" t="n">
        <x:v>11</x:v>
      </x:c>
      <x:c r="D46" s="30" t="inlineStr">
        <x:is>
          <x:t xml:space="preserve">Quelle place le digital occupe-t-il actuellement dans vos ventes ?</x:t>
        </x:is>
      </x:c>
      <x:c r="E46" s="30" t="inlineStr">
        <x:is>
          <x:t xml:space="preserve">Mon site présente mes offres, mais les commandes se finalisent ailleurs.</x:t>
        </x:is>
      </x:c>
      <x:c r="F46" s="30" t="inlineStr">
        <x:is>
          <x:t xml:space="preserve">Parcours de vente digital</x:t>
        </x:is>
      </x:c>
      <x:c r="G46" s="30" t="inlineStr">
        <x:is>
          <x:t xml:space="preserve">Difficulté</x:t>
        </x:is>
      </x:c>
      <x:c r="H46" s="45" t="n">
        <x:v>1</x:v>
      </x:c>
      <x:c r="I46" s="30" t="inlineStr">
        <x:is>
          <x:t xml:space="preserve">Légère</x:t>
        </x:is>
      </x:c>
      <x:c r="J46" s="30" t="inlineStr">
        <x:is>
          <x:t xml:space="preserve">Le site présente les offres, mais la commande se termine ailleurs.</x:t>
        </x:is>
      </x:c>
      <x:c r="K46" s="30" t="inlineStr">
        <x:is>
          <x:t xml:space="preserve">Le parcours entre consultation, commande et paiement est fragmenté.</x:t>
        </x:is>
      </x:c>
      <x:c r="L46" s="30" t="inlineStr">
        <x:is>
          <x:t xml:space="preserve">Le passage vers un autre canal peut créer des abandons ou compliquer le suivi des ventes.</x:t>
        </x:is>
      </x:c>
      <x:c r="M46" s="30" t="inlineStr">
        <x:is>
          <x:t xml:space="preserve">Que doit faire exactement un visiteur après avoir choisi une offre sur le site ?</x:t>
        </x:is>
      </x:c>
      <x:c r="N46" s="30" t="inlineStr">
        <x:is>
          <x:t xml:space="preserve">Cartographier la rupture du parcours.</x:t>
        </x:is>
      </x:c>
    </x:row>
    <x:row r="47" ht="41.25" customHeight="1">
      <x:c r="A47" s="30" t="inlineStr">
        <x:is>
          <x:t xml:space="preserve">Q11C</x:t>
        </x:is>
      </x:c>
      <x:c r="B47" s="30" t="inlineStr">
        <x:is>
          <x:t xml:space="preserve">Dirigeant</x:t>
        </x:is>
      </x:c>
      <x:c r="C47" s="30" t="n">
        <x:v>11</x:v>
      </x:c>
      <x:c r="D47" s="30" t="inlineStr">
        <x:is>
          <x:t xml:space="preserve">Quelle place le digital occupe-t-il actuellement dans vos ventes ?</x:t>
        </x:is>
      </x:c>
      <x:c r="E47" s="30" t="inlineStr">
        <x:is>
          <x:t xml:space="preserve">Je vends principalement à travers les réseaux sociaux et les messageries.</x:t>
        </x:is>
      </x:c>
      <x:c r="F47" s="30" t="inlineStr">
        <x:is>
          <x:t xml:space="preserve">Parcours de vente digital</x:t>
        </x:is>
      </x:c>
      <x:c r="G47" s="30" t="inlineStr">
        <x:is>
          <x:t xml:space="preserve">Point de vigilance</x:t>
        </x:is>
      </x:c>
      <x:c r="H47" s="45" t="n">
        <x:v>1</x:v>
      </x:c>
      <x:c r="I47" s="30" t="inlineStr">
        <x:is>
          <x:t xml:space="preserve">Légère</x:t>
        </x:is>
      </x:c>
      <x:c r="J47" s="30" t="inlineStr">
        <x:is>
          <x:t xml:space="preserve">Les ventes passent principalement par les réseaux sociaux et les messageries.</x:t>
        </x:is>
      </x:c>
      <x:c r="K47" s="30" t="inlineStr">
        <x:is>
          <x:t xml:space="preserve">Le parcours de vente dépend fortement des échanges conversationnels.</x:t>
        </x:is>
      </x:c>
      <x:c r="L47" s="30" t="inlineStr">
        <x:is>
          <x:t xml:space="preserve">Les demandes, commandes et paiements peuvent être difficiles à suivre dans un même parcours.</x:t>
        </x:is>
      </x:c>
      <x:c r="M47" s="30" t="inlineStr">
        <x:is>
          <x:t xml:space="preserve">Comment suivez-vous une demande reçue sur les réseaux sociaux jusqu’au paiement ?</x:t>
        </x:is>
      </x:c>
      <x:c r="N47" s="30" t="inlineStr">
        <x:is>
          <x:t xml:space="preserve">Explorer la continuité du parcours de vente.</x:t>
        </x:is>
      </x:c>
    </x:row>
    <x:row r="48" ht="41.25" customHeight="1">
      <x:c r="A48" s="30" t="inlineStr">
        <x:is>
          <x:t xml:space="preserve">Q11D</x:t>
        </x:is>
      </x:c>
      <x:c r="B48" s="30" t="inlineStr">
        <x:is>
          <x:t xml:space="preserve">Dirigeant</x:t>
        </x:is>
      </x:c>
      <x:c r="C48" s="30" t="n">
        <x:v>11</x:v>
      </x:c>
      <x:c r="D48" s="30" t="inlineStr">
        <x:is>
          <x:t xml:space="preserve">Quelle place le digital occupe-t-il actuellement dans vos ventes ?</x:t>
        </x:is>
      </x:c>
      <x:c r="E48" s="30" t="inlineStr">
        <x:is>
          <x:t xml:space="preserve">Mes ventes se font encore essentiellement en présentiel.</x:t>
        </x:is>
      </x:c>
      <x:c r="F48" s="30" t="inlineStr">
        <x:is>
          <x:t xml:space="preserve">Parcours de vente digital</x:t>
        </x:is>
      </x:c>
      <x:c r="G48" s="30" t="inlineStr">
        <x:is>
          <x:t xml:space="preserve">Contexte</x:t>
        </x:is>
      </x:c>
      <x:c r="H48" s="45" t="n">
        <x:v>0</x:v>
      </x:c>
      <x:c r="I48" s="30" t="inlineStr">
        <x:is>
          <x:t xml:space="preserve">Aucune alerte</x:t>
        </x:is>
      </x:c>
      <x:c r="J48" s="30" t="inlineStr">
        <x:is>
          <x:t xml:space="preserve">Les ventes sont encore principalement réalisées en présentiel.</x:t>
        </x:is>
      </x:c>
      <x:c r="K48" s="30" t="str"/>
      <x:c r="L48" s="30" t="inlineStr">
        <x:is>
          <x:t xml:space="preserve">Le besoin digital dépendra du projet de développement de l’entreprise.</x:t>
        </x:is>
      </x:c>
      <x:c r="M48" s="30" t="inlineStr">
        <x:is>
          <x:t xml:space="preserve">Souhaitez-vous développer la vente à distance ou rester principalement en présentiel ?</x:t>
        </x:is>
      </x:c>
      <x:c r="N48" s="30" t="inlineStr">
        <x:is>
          <x:t xml:space="preserve">Comprendre l’ambition digitale.</x:t>
        </x:is>
      </x:c>
    </x:row>
    <x:row r="49" ht="41.25" customHeight="1">
      <x:c r="A49" s="30" t="inlineStr">
        <x:is>
          <x:t xml:space="preserve">Q12A</x:t>
        </x:is>
      </x:c>
      <x:c r="B49" s="30" t="inlineStr">
        <x:is>
          <x:t xml:space="preserve">Dirigeant</x:t>
        </x:is>
      </x:c>
      <x:c r="C49" s="30" t="n">
        <x:v>12</x:v>
      </x:c>
      <x:c r="D49" s="30" t="inlineStr">
        <x:is>
          <x:t xml:space="preserve">Un client affirme avoir payé, mais vous ne retrouvez pas immédiatement son paiement. Que faites-vous ?</x:t>
        </x:is>
      </x:c>
      <x:c r="E49" s="30" t="inlineStr">
        <x:is>
          <x:t xml:space="preserve">Je recherche la transaction à partir de sa référence.</x:t>
        </x:is>
      </x:c>
      <x:c r="F49" s="30" t="inlineStr">
        <x:is>
          <x:t xml:space="preserve">Traçabilité d’un paiement</x:t>
        </x:is>
      </x:c>
      <x:c r="G49" s="30" t="inlineStr">
        <x:is>
          <x:t xml:space="preserve">Force</x:t>
        </x:is>
      </x:c>
      <x:c r="H49" s="45" t="n">
        <x:v>0</x:v>
      </x:c>
      <x:c r="I49" s="30" t="inlineStr">
        <x:is>
          <x:t xml:space="preserve">Aucune alerte</x:t>
        </x:is>
      </x:c>
      <x:c r="J49" s="30" t="inlineStr">
        <x:is>
          <x:t xml:space="preserve">Un paiement peut être recherché à partir de sa référence.</x:t>
        </x:is>
      </x:c>
      <x:c r="K49" s="30" t="str"/>
      <x:c r="L49" s="30" t="str"/>
      <x:c r="M49" s="30" t="inlineStr">
        <x:is>
          <x:t xml:space="preserve">La référence permet-elle aussi de retrouver la commande et le client concernés ?</x:t>
        </x:is>
      </x:c>
      <x:c r="N49" s="30" t="inlineStr">
        <x:is>
          <x:t xml:space="preserve">Confirmer la profondeur du rapprochement.</x:t>
        </x:is>
      </x:c>
    </x:row>
    <x:row r="50" ht="41.25" customHeight="1">
      <x:c r="A50" s="30" t="inlineStr">
        <x:is>
          <x:t xml:space="preserve">Q12B</x:t>
        </x:is>
      </x:c>
      <x:c r="B50" s="30" t="inlineStr">
        <x:is>
          <x:t xml:space="preserve">Dirigeant</x:t>
        </x:is>
      </x:c>
      <x:c r="C50" s="30" t="n">
        <x:v>12</x:v>
      </x:c>
      <x:c r="D50" s="30" t="inlineStr">
        <x:is>
          <x:t xml:space="preserve">Un client affirme avoir payé, mais vous ne retrouvez pas immédiatement son paiement. Que faites-vous ?</x:t>
        </x:is>
      </x:c>
      <x:c r="E50" s="30" t="inlineStr">
        <x:is>
          <x:t xml:space="preserve">Je lui demande une preuve de paiement pour poursuivre la vérification.</x:t>
        </x:is>
      </x:c>
      <x:c r="F50" s="30" t="inlineStr">
        <x:is>
          <x:t xml:space="preserve">Traçabilité d’un paiement</x:t>
        </x:is>
      </x:c>
      <x:c r="G50" s="30" t="inlineStr">
        <x:is>
          <x:t xml:space="preserve">Difficulté</x:t>
        </x:is>
      </x:c>
      <x:c r="H50" s="45" t="n">
        <x:v>1</x:v>
      </x:c>
      <x:c r="I50" s="30" t="inlineStr">
        <x:is>
          <x:t xml:space="preserve">Légère</x:t>
        </x:is>
      </x:c>
      <x:c r="J50" s="30" t="inlineStr">
        <x:is>
          <x:t xml:space="preserve">La vérification dépend d’une preuve envoyée par le client.</x:t>
        </x:is>
      </x:c>
      <x:c r="K50" s="30" t="inlineStr">
        <x:is>
          <x:t xml:space="preserve">L’entreprise ne retrouve pas toujours un paiement depuis ses propres données.</x:t>
        </x:is>
      </x:c>
      <x:c r="L50" s="30" t="inlineStr">
        <x:is>
          <x:t xml:space="preserve">La résolution dépend de la disponibilité et de la qualité de la preuve du client.</x:t>
        </x:is>
      </x:c>
      <x:c r="M50" s="30" t="inlineStr">
        <x:is>
          <x:t xml:space="preserve">Que pouvez-vous vérifier lorsque le client ne retrouve plus sa preuve ?</x:t>
        </x:is>
      </x:c>
      <x:c r="N50" s="30" t="inlineStr">
        <x:is>
          <x:t xml:space="preserve">Tester l’autonomie de vérification.</x:t>
        </x:is>
      </x:c>
    </x:row>
    <x:row r="51" ht="41.25" customHeight="1">
      <x:c r="A51" s="30" t="inlineStr">
        <x:is>
          <x:t xml:space="preserve">Q12C</x:t>
        </x:is>
      </x:c>
      <x:c r="B51" s="30" t="inlineStr">
        <x:is>
          <x:t xml:space="preserve">Dirigeant</x:t>
        </x:is>
      </x:c>
      <x:c r="C51" s="30" t="n">
        <x:v>12</x:v>
      </x:c>
      <x:c r="D51" s="30" t="inlineStr">
        <x:is>
          <x:t xml:space="preserve">Un client affirme avoir payé, mais vous ne retrouvez pas immédiatement son paiement. Que faites-vous ?</x:t>
        </x:is>
      </x:c>
      <x:c r="E51" s="30" t="inlineStr">
        <x:is>
          <x:t xml:space="preserve">Je consulte mes différents soldes pour voir si le montant apparaît.</x:t>
        </x:is>
      </x:c>
      <x:c r="F51" s="30" t="inlineStr">
        <x:is>
          <x:t xml:space="preserve">Traçabilité d’un paiement</x:t>
        </x:is>
      </x:c>
      <x:c r="G51" s="30" t="inlineStr">
        <x:is>
          <x:t xml:space="preserve">Difficulté</x:t>
        </x:is>
      </x:c>
      <x:c r="H51" s="45" t="n">
        <x:v>2</x:v>
      </x:c>
      <x:c r="I51" s="30" t="inlineStr">
        <x:is>
          <x:t xml:space="preserve">Modérée</x:t>
        </x:is>
      </x:c>
      <x:c r="J51" s="30" t="inlineStr">
        <x:is>
          <x:t xml:space="preserve">La recherche oblige à consulter plusieurs soldes.</x:t>
        </x:is>
      </x:c>
      <x:c r="K51" s="30" t="inlineStr">
        <x:is>
          <x:t xml:space="preserve">Un paiement ne peut pas être retrouvé rapidement dans une vue unique.</x:t>
        </x:is>
      </x:c>
      <x:c r="L51" s="30" t="inlineStr">
        <x:is>
          <x:t xml:space="preserve">Le délai de confirmation peut dégrader l’expérience client et mobiliser plusieurs vérifications.</x:t>
        </x:is>
      </x:c>
      <x:c r="M51" s="30" t="inlineStr">
        <x:is>
          <x:t xml:space="preserve">Combien de comptes devez-vous vérifier avant de confirmer un paiement ?</x:t>
        </x:is>
      </x:c>
      <x:c r="N51" s="30" t="inlineStr">
        <x:is>
          <x:t xml:space="preserve">Mesurer la complexité de recherche.</x:t>
        </x:is>
      </x:c>
    </x:row>
    <x:row r="52" ht="41.25" customHeight="1">
      <x:c r="A52" s="30" t="inlineStr">
        <x:is>
          <x:t xml:space="preserve">Q12D</x:t>
        </x:is>
      </x:c>
      <x:c r="B52" s="30" t="inlineStr">
        <x:is>
          <x:t xml:space="preserve">Dirigeant</x:t>
        </x:is>
      </x:c>
      <x:c r="C52" s="30" t="n">
        <x:v>12</x:v>
      </x:c>
      <x:c r="D52" s="30" t="inlineStr">
        <x:is>
          <x:t xml:space="preserve">Un client affirme avoir payé, mais vous ne retrouvez pas immédiatement son paiement. Que faites-vous ?</x:t>
        </x:is>
      </x:c>
      <x:c r="E52" s="30" t="inlineStr">
        <x:is>
          <x:t xml:space="preserve">J’attends la notification ou la confirmation de mon opérateur de paiement.</x:t>
        </x:is>
      </x:c>
      <x:c r="F52" s="30" t="inlineStr">
        <x:is>
          <x:t xml:space="preserve">Traçabilité d’un paiement</x:t>
        </x:is>
      </x:c>
      <x:c r="G52" s="30" t="inlineStr">
        <x:is>
          <x:t xml:space="preserve">Difficulté</x:t>
        </x:is>
      </x:c>
      <x:c r="H52" s="45" t="n">
        <x:v>3</x:v>
      </x:c>
      <x:c r="I52" s="30" t="inlineStr">
        <x:is>
          <x:t xml:space="preserve">Élevée</x:t>
        </x:is>
      </x:c>
      <x:c r="J52" s="30" t="inlineStr">
        <x:is>
          <x:t xml:space="preserve">La confirmation dépend de l’arrivée d’une notification ou de l’opérateur.</x:t>
        </x:is>
      </x:c>
      <x:c r="K52" s="30" t="inlineStr">
        <x:is>
          <x:t xml:space="preserve">L’entreprise ne maîtrise pas le délai de vérification d’un paiement.</x:t>
        </x:is>
      </x:c>
      <x:c r="L52" s="30" t="inlineStr">
        <x:is>
          <x:t xml:space="preserve">Une commande peut rester bloquée malgré la déclaration du client.</x:t>
        </x:is>
      </x:c>
      <x:c r="M52" s="30" t="inlineStr">
        <x:is>
          <x:t xml:space="preserve">Combien de temps une commande peut-elle rester en attente dans cette situation ?</x:t>
        </x:is>
      </x:c>
      <x:c r="N52" s="30" t="inlineStr">
        <x:is>
          <x:t xml:space="preserve">Évaluer l’impact opérationnel du délai.</x:t>
        </x:is>
      </x:c>
    </x:row>
    <x:row r="53" ht="41.25" customHeight="1">
      <x:c r="A53" s="30" t="inlineStr">
        <x:is>
          <x:t xml:space="preserve">Q13A</x:t>
        </x:is>
      </x:c>
      <x:c r="B53" s="30" t="inlineStr">
        <x:is>
          <x:t xml:space="preserve">Dirigeant</x:t>
        </x:is>
      </x:c>
      <x:c r="C53" s="30" t="n">
        <x:v>13</x:v>
      </x:c>
      <x:c r="D53" s="30" t="inlineStr">
        <x:is>
          <x:t xml:space="preserve">Avant d’adopter un nouvel outil pour votre entreprise, qu’est-ce qui compte le plus pour vous ?</x:t>
        </x:is>
      </x:c>
      <x:c r="E53" s="30" t="inlineStr">
        <x:is>
          <x:t xml:space="preserve">Je veux savoir s’il peut s’intégrer facilement à mon fonctionnement actuel.</x:t>
        </x:is>
      </x:c>
      <x:c r="F53" s="30" t="inlineStr">
        <x:is>
          <x:t xml:space="preserve">Adoption</x:t>
        </x:is>
      </x:c>
      <x:c r="G53" s="30" t="inlineStr">
        <x:is>
          <x:t xml:space="preserve">Condition déclarée</x:t>
        </x:is>
      </x:c>
      <x:c r="H53" s="45" t="n">
        <x:v>0</x:v>
      </x:c>
      <x:c r="I53" s="30" t="inlineStr">
        <x:is>
          <x:t xml:space="preserve">Aucune alerte</x:t>
        </x:is>
      </x:c>
      <x:c r="J53" s="30" t="inlineStr">
        <x:is>
          <x:t xml:space="preserve">L’intégration au fonctionnement actuel est la première condition d’adoption.</x:t>
        </x:is>
      </x:c>
      <x:c r="K53" s="30" t="str"/>
      <x:c r="L53" s="30" t="inlineStr">
        <x:is>
          <x:t xml:space="preserve">Une solution trop éloignée des habitudes existantes peut être rejetée.</x:t>
        </x:is>
      </x:c>
      <x:c r="M53" s="30" t="inlineStr">
        <x:is>
          <x:t xml:space="preserve">Quelles habitudes ou outils doivent absolument être préservés ?</x:t>
        </x:is>
      </x:c>
      <x:c r="N53" s="30" t="inlineStr">
        <x:is>
          <x:t xml:space="preserve">Comprendre les conditions d’adoption.</x:t>
        </x:is>
      </x:c>
    </x:row>
    <x:row r="54" ht="41.25" customHeight="1">
      <x:c r="A54" s="30" t="inlineStr">
        <x:is>
          <x:t xml:space="preserve">Q13B</x:t>
        </x:is>
      </x:c>
      <x:c r="B54" s="30" t="inlineStr">
        <x:is>
          <x:t xml:space="preserve">Dirigeant</x:t>
        </x:is>
      </x:c>
      <x:c r="C54" s="30" t="n">
        <x:v>13</x:v>
      </x:c>
      <x:c r="D54" s="30" t="inlineStr">
        <x:is>
          <x:t xml:space="preserve">Avant d’adopter un nouvel outil pour votre entreprise, qu’est-ce qui compte le plus pour vous ?</x:t>
        </x:is>
      </x:c>
      <x:c r="E54" s="30" t="inlineStr">
        <x:is>
          <x:t xml:space="preserve">Je veux vérifier s’il me permettra de gagner du temps dans le suivi.</x:t>
        </x:is>
      </x:c>
      <x:c r="F54" s="30" t="inlineStr">
        <x:is>
          <x:t xml:space="preserve">Adoption</x:t>
        </x:is>
      </x:c>
      <x:c r="G54" s="30" t="inlineStr">
        <x:is>
          <x:t xml:space="preserve">Condition déclarée</x:t>
        </x:is>
      </x:c>
      <x:c r="H54" s="45" t="n">
        <x:v>0</x:v>
      </x:c>
      <x:c r="I54" s="30" t="inlineStr">
        <x:is>
          <x:t xml:space="preserve">Aucune alerte</x:t>
        </x:is>
      </x:c>
      <x:c r="J54" s="30" t="inlineStr">
        <x:is>
          <x:t xml:space="preserve">Le gain de temps est la première condition d’adoption.</x:t>
        </x:is>
      </x:c>
      <x:c r="K54" s="30" t="str"/>
      <x:c r="L54" s="30" t="inlineStr">
        <x:is>
          <x:t xml:space="preserve">La valeur attendue devra être observable dans les tâches quotidiennes.</x:t>
        </x:is>
      </x:c>
      <x:c r="M54" s="30" t="inlineStr">
        <x:is>
          <x:t xml:space="preserve">Quelles tâches de suivi vous prennent aujourd’hui le plus de temps ?</x:t>
        </x:is>
      </x:c>
      <x:c r="N54" s="30" t="inlineStr">
        <x:is>
          <x:t xml:space="preserve">Identifier les gains attendus.</x:t>
        </x:is>
      </x:c>
    </x:row>
    <x:row r="55" ht="41.25" customHeight="1">
      <x:c r="A55" s="30" t="inlineStr">
        <x:is>
          <x:t xml:space="preserve">Q13C</x:t>
        </x:is>
      </x:c>
      <x:c r="B55" s="30" t="inlineStr">
        <x:is>
          <x:t xml:space="preserve">Dirigeant</x:t>
        </x:is>
      </x:c>
      <x:c r="C55" s="30" t="n">
        <x:v>13</x:v>
      </x:c>
      <x:c r="D55" s="30" t="inlineStr">
        <x:is>
          <x:t xml:space="preserve">Avant d’adopter un nouvel outil pour votre entreprise, qu’est-ce qui compte le plus pour vous ?</x:t>
        </x:is>
      </x:c>
      <x:c r="E55" s="30" t="inlineStr">
        <x:is>
          <x:t xml:space="preserve">Je veux m’assurer que mon équipe pourra l’utiliser sans difficulté.</x:t>
        </x:is>
      </x:c>
      <x:c r="F55" s="30" t="inlineStr">
        <x:is>
          <x:t xml:space="preserve">Adoption</x:t>
        </x:is>
      </x:c>
      <x:c r="G55" s="30" t="inlineStr">
        <x:is>
          <x:t xml:space="preserve">Condition déclarée</x:t>
        </x:is>
      </x:c>
      <x:c r="H55" s="45" t="n">
        <x:v>0</x:v>
      </x:c>
      <x:c r="I55" s="30" t="inlineStr">
        <x:is>
          <x:t xml:space="preserve">Aucune alerte</x:t>
        </x:is>
      </x:c>
      <x:c r="J55" s="30" t="inlineStr">
        <x:is>
          <x:t xml:space="preserve">La facilité d’utilisation par l’équipe est la première condition d’adoption.</x:t>
        </x:is>
      </x:c>
      <x:c r="K55" s="30" t="str"/>
      <x:c r="L55" s="30" t="inlineStr">
        <x:is>
          <x:t xml:space="preserve">La capacité de l’équipe à adopter un nouvel outil sera déterminante.</x:t>
        </x:is>
      </x:c>
      <x:c r="M55" s="30" t="inlineStr">
        <x:is>
          <x:t xml:space="preserve">Quelles difficultés votre équipe rencontre-t-elle habituellement avec de nouveaux outils ?</x:t>
        </x:is>
      </x:c>
      <x:c r="N55" s="30" t="inlineStr">
        <x:is>
          <x:t xml:space="preserve">Comprendre le risque d’adoption.</x:t>
        </x:is>
      </x:c>
    </x:row>
    <x:row r="56" ht="41.25" customHeight="1">
      <x:c r="A56" s="30" t="inlineStr">
        <x:is>
          <x:t xml:space="preserve">Q13D</x:t>
        </x:is>
      </x:c>
      <x:c r="B56" s="30" t="inlineStr">
        <x:is>
          <x:t xml:space="preserve">Dirigeant</x:t>
        </x:is>
      </x:c>
      <x:c r="C56" s="30" t="n">
        <x:v>13</x:v>
      </x:c>
      <x:c r="D56" s="30" t="inlineStr">
        <x:is>
          <x:t xml:space="preserve">Avant d’adopter un nouvel outil pour votre entreprise, qu’est-ce qui compte le plus pour vous ?</x:t>
        </x:is>
      </x:c>
      <x:c r="E56" s="30" t="inlineStr">
        <x:is>
          <x:t xml:space="preserve">Je préfère attendre que le besoin devienne vraiment urgent avant de changer.</x:t>
        </x:is>
      </x:c>
      <x:c r="F56" s="30" t="inlineStr">
        <x:is>
          <x:t xml:space="preserve">Adoption</x:t>
        </x:is>
      </x:c>
      <x:c r="G56" s="30" t="inlineStr">
        <x:is>
          <x:t xml:space="preserve">Point de vigilance</x:t>
        </x:is>
      </x:c>
      <x:c r="H56" s="45" t="n">
        <x:v>2</x:v>
      </x:c>
      <x:c r="I56" s="30" t="inlineStr">
        <x:is>
          <x:t xml:space="preserve">Modérée</x:t>
        </x:is>
      </x:c>
      <x:c r="J56" s="30" t="inlineStr">
        <x:is>
          <x:t xml:space="preserve">Le changement est envisagé seulement lorsque le besoin devient urgent.</x:t>
        </x:is>
      </x:c>
      <x:c r="K56" s="30" t="inlineStr">
        <x:is>
          <x:t xml:space="preserve">Les améliorations peuvent être reportées jusqu’à l’apparition d’un problème critique.</x:t>
        </x:is>
      </x:c>
      <x:c r="L56" s="30" t="inlineStr">
        <x:is>
          <x:t xml:space="preserve">Le prospect peut reconnaître la difficulté sans être encore prêt à agir.</x:t>
        </x:is>
      </x:c>
      <x:c r="M56" s="30" t="inlineStr">
        <x:is>
          <x:t xml:space="preserve">Quel événement rendrait ce sujet suffisamment urgent pour agir maintenant ?</x:t>
        </x:is>
      </x:c>
      <x:c r="N56" s="30" t="inlineStr">
        <x:is>
          <x:t xml:space="preserve">Évaluer la maturité du besoin.</x:t>
        </x:is>
      </x:c>
    </x:row>
    <x:row r="57" ht="41.25" customHeight="1">
      <x:c r="A57" s="30" t="inlineStr">
        <x:is>
          <x:t xml:space="preserve">Q14A</x:t>
        </x:is>
      </x:c>
      <x:c r="B57" s="30" t="inlineStr">
        <x:is>
          <x:t xml:space="preserve">Dirigeant</x:t>
        </x:is>
      </x:c>
      <x:c r="C57" s="30" t="n">
        <x:v>14</x:v>
      </x:c>
      <x:c r="D57" s="30" t="inlineStr">
        <x:is>
          <x:t xml:space="preserve">Dans un an, quel progrès vous donnerait le plus le sentiment de mieux piloter votre entreprise ?</x:t>
        </x:is>
      </x:c>
      <x:c r="E57" s="30" t="inlineStr">
        <x:is>
          <x:t xml:space="preserve">Je pourrais connaître l’état de ma trésorerie sans attendre la fin du mois.</x:t>
        </x:is>
      </x:c>
      <x:c r="F57" s="30" t="inlineStr">
        <x:is>
          <x:t xml:space="preserve">Besoin déclaré</x:t>
        </x:is>
      </x:c>
      <x:c r="G57" s="30" t="inlineStr">
        <x:is>
          <x:t xml:space="preserve">Besoin déclaré</x:t>
        </x:is>
      </x:c>
      <x:c r="H57" s="45" t="n">
        <x:v>0</x:v>
      </x:c>
      <x:c r="I57" s="30" t="inlineStr">
        <x:is>
          <x:t xml:space="preserve">Aucune alerte</x:t>
        </x:is>
      </x:c>
      <x:c r="J57" s="30" t="inlineStr">
        <x:is>
          <x:t xml:space="preserve">Le progrès prioritaire déclaré est de connaître la trésorerie sans attendre la fin du mois.</x:t>
        </x:is>
      </x:c>
      <x:c r="K57" s="30" t="str"/>
      <x:c r="L57" s="30" t="inlineStr">
        <x:is>
          <x:t xml:space="preserve">Le besoin de visibilité financière est explicitement reconnu.</x:t>
        </x:is>
      </x:c>
      <x:c r="M57" s="30" t="inlineStr">
        <x:is>
          <x:t xml:space="preserve">Qu’est-ce que cette visibilité vous permettrait de décider plus rapidement ?</x:t>
        </x:is>
      </x:c>
      <x:c r="N57" s="30" t="inlineStr">
        <x:is>
          <x:t xml:space="preserve">Approfondir le besoin déclaré.</x:t>
        </x:is>
      </x:c>
    </x:row>
    <x:row r="58" ht="41.25" customHeight="1">
      <x:c r="A58" s="30" t="inlineStr">
        <x:is>
          <x:t xml:space="preserve">Q14B</x:t>
        </x:is>
      </x:c>
      <x:c r="B58" s="30" t="inlineStr">
        <x:is>
          <x:t xml:space="preserve">Dirigeant</x:t>
        </x:is>
      </x:c>
      <x:c r="C58" s="30" t="n">
        <x:v>14</x:v>
      </x:c>
      <x:c r="D58" s="30" t="inlineStr">
        <x:is>
          <x:t xml:space="preserve">Dans un an, quel progrès vous donnerait le plus le sentiment de mieux piloter votre entreprise ?</x:t>
        </x:is>
      </x:c>
      <x:c r="E58" s="30" t="inlineStr">
        <x:is>
          <x:t xml:space="preserve">Je pourrais retrouver facilement l’origine de chaque mouvement de fonds.</x:t>
        </x:is>
      </x:c>
      <x:c r="F58" s="30" t="inlineStr">
        <x:is>
          <x:t xml:space="preserve">Besoin déclaré</x:t>
        </x:is>
      </x:c>
      <x:c r="G58" s="30" t="inlineStr">
        <x:is>
          <x:t xml:space="preserve">Besoin déclaré</x:t>
        </x:is>
      </x:c>
      <x:c r="H58" s="45" t="n">
        <x:v>0</x:v>
      </x:c>
      <x:c r="I58" s="30" t="inlineStr">
        <x:is>
          <x:t xml:space="preserve">Aucune alerte</x:t>
        </x:is>
      </x:c>
      <x:c r="J58" s="30" t="inlineStr">
        <x:is>
          <x:t xml:space="preserve">Le progrès prioritaire déclaré est de retrouver l’origine de chaque mouvement de fonds.</x:t>
        </x:is>
      </x:c>
      <x:c r="K58" s="30" t="str"/>
      <x:c r="L58" s="30" t="inlineStr">
        <x:is>
          <x:t xml:space="preserve">Le besoin de traçabilité est explicitement reconnu.</x:t>
        </x:is>
      </x:c>
      <x:c r="M58" s="30" t="inlineStr">
        <x:is>
          <x:t xml:space="preserve">Quels mouvements sont aujourd’hui les plus difficiles à expliquer ?</x:t>
        </x:is>
      </x:c>
      <x:c r="N58" s="30" t="inlineStr">
        <x:is>
          <x:t xml:space="preserve">Approfondir le besoin déclaré.</x:t>
        </x:is>
      </x:c>
    </x:row>
    <x:row r="59" ht="41.25" customHeight="1">
      <x:c r="A59" s="30" t="inlineStr">
        <x:is>
          <x:t xml:space="preserve">Q14C</x:t>
        </x:is>
      </x:c>
      <x:c r="B59" s="30" t="inlineStr">
        <x:is>
          <x:t xml:space="preserve">Dirigeant</x:t>
        </x:is>
      </x:c>
      <x:c r="C59" s="30" t="n">
        <x:v>14</x:v>
      </x:c>
      <x:c r="D59" s="30" t="inlineStr">
        <x:is>
          <x:t xml:space="preserve">Dans un an, quel progrès vous donnerait le plus le sentiment de mieux piloter votre entreprise ?</x:t>
        </x:is>
      </x:c>
      <x:c r="E59" s="30" t="inlineStr">
        <x:is>
          <x:t xml:space="preserve">Je pourrais encaisser mes clients sur tous mes canaux de vente.</x:t>
        </x:is>
      </x:c>
      <x:c r="F59" s="30" t="inlineStr">
        <x:is>
          <x:t xml:space="preserve">Besoin déclaré</x:t>
        </x:is>
      </x:c>
      <x:c r="G59" s="30" t="inlineStr">
        <x:is>
          <x:t xml:space="preserve">Besoin déclaré</x:t>
        </x:is>
      </x:c>
      <x:c r="H59" s="45" t="n">
        <x:v>0</x:v>
      </x:c>
      <x:c r="I59" s="30" t="inlineStr">
        <x:is>
          <x:t xml:space="preserve">Aucune alerte</x:t>
        </x:is>
      </x:c>
      <x:c r="J59" s="30" t="inlineStr">
        <x:is>
          <x:t xml:space="preserve">Le progrès prioritaire déclaré est d’encaisser sur tous les canaux de vente.</x:t>
        </x:is>
      </x:c>
      <x:c r="K59" s="30" t="str"/>
      <x:c r="L59" s="30" t="inlineStr">
        <x:is>
          <x:t xml:space="preserve">Le besoin d’un parcours d’encaissement plus large est explicitement reconnu.</x:t>
        </x:is>
      </x:c>
      <x:c r="M59" s="30" t="inlineStr">
        <x:is>
          <x:t xml:space="preserve">Quel canal vous empêche aujourd’hui de finaliser certaines ventes ?</x:t>
        </x:is>
      </x:c>
      <x:c r="N59" s="30" t="inlineStr">
        <x:is>
          <x:t xml:space="preserve">Approfondir le besoin déclaré.</x:t>
        </x:is>
      </x:c>
    </x:row>
    <x:row r="60" ht="41.25" customHeight="1">
      <x:c r="A60" s="30" t="inlineStr">
        <x:is>
          <x:t xml:space="preserve">Q14D</x:t>
        </x:is>
      </x:c>
      <x:c r="B60" s="30" t="inlineStr">
        <x:is>
          <x:t xml:space="preserve">Dirigeant</x:t>
        </x:is>
      </x:c>
      <x:c r="C60" s="30" t="n">
        <x:v>14</x:v>
      </x:c>
      <x:c r="D60" s="30" t="inlineStr">
        <x:is>
          <x:t xml:space="preserve">Dans un an, quel progrès vous donnerait le plus le sentiment de mieux piloter votre entreprise ?</x:t>
        </x:is>
      </x:c>
      <x:c r="E60" s="30" t="inlineStr">
        <x:is>
          <x:t xml:space="preserve">Je pourrais déléguer davantage sans perdre le contrôle de mon activité.</x:t>
        </x:is>
      </x:c>
      <x:c r="F60" s="30" t="inlineStr">
        <x:is>
          <x:t xml:space="preserve">Besoin déclaré</x:t>
        </x:is>
      </x:c>
      <x:c r="G60" s="30" t="inlineStr">
        <x:is>
          <x:t xml:space="preserve">Besoin déclaré</x:t>
        </x:is>
      </x:c>
      <x:c r="H60" s="45" t="n">
        <x:v>0</x:v>
      </x:c>
      <x:c r="I60" s="30" t="inlineStr">
        <x:is>
          <x:t xml:space="preserve">Aucune alerte</x:t>
        </x:is>
      </x:c>
      <x:c r="J60" s="30" t="inlineStr">
        <x:is>
          <x:t xml:space="preserve">Le progrès prioritaire déclaré est de déléguer sans perdre le contrôle.</x:t>
        </x:is>
      </x:c>
      <x:c r="K60" s="30" t="str"/>
      <x:c r="L60" s="30" t="inlineStr">
        <x:is>
          <x:t xml:space="preserve">Le besoin de contrôle dans la délégation est explicitement reconnu.</x:t>
        </x:is>
      </x:c>
      <x:c r="M60" s="30" t="inlineStr">
        <x:is>
          <x:t xml:space="preserve">Qu’aimeriez-vous pouvoir déléguer tout en continuant à vérifier ?</x:t>
        </x:is>
      </x:c>
      <x:c r="N60" s="30" t="inlineStr">
        <x:is>
          <x:t xml:space="preserve">Approfondir le besoin déclaré.</x:t>
        </x:is>
      </x:c>
    </x:row>
    <x:row r="61" ht="41.25" customHeight="1">
      <x:c r="A61" s="30" t="inlineStr">
        <x:is>
          <x:t xml:space="preserve">R1A</x:t>
        </x:is>
      </x:c>
      <x:c r="B61" s="30" t="inlineStr">
        <x:is>
          <x:t xml:space="preserve">Rayonnement</x:t>
        </x:is>
      </x:c>
      <x:c r="C61" s="30" t="n">
        <x:v>1</x:v>
      </x:c>
      <x:c r="D61" s="30" t="inlineStr">
        <x:is>
          <x:t xml:space="preserve">En dehors de vos clients actuels, jusqu’où votre entreprise est-elle connue ?</x:t>
        </x:is>
      </x:c>
      <x:c r="E61" s="30" t="inlineStr">
        <x:is>
          <x:t xml:space="preserve">Elle est principalement connue par mon entourage et mes contacts directs.</x:t>
        </x:is>
      </x:c>
      <x:c r="F61" s="30" t="inlineStr">
        <x:is>
          <x:t xml:space="preserve">Notoriété</x:t>
        </x:is>
      </x:c>
      <x:c r="G61" s="30" t="inlineStr">
        <x:is>
          <x:t xml:space="preserve">Difficulté</x:t>
        </x:is>
      </x:c>
      <x:c r="H61" s="45" t="n">
        <x:v>3</x:v>
      </x:c>
      <x:c r="I61" s="30" t="inlineStr">
        <x:is>
          <x:t xml:space="preserve">Élevée</x:t>
        </x:is>
      </x:c>
      <x:c r="J61" s="30" t="inlineStr">
        <x:is>
          <x:t xml:space="preserve">L’entreprise est principalement connue de l’entourage et des contacts directs.</x:t>
        </x:is>
      </x:c>
      <x:c r="K61" s="30" t="inlineStr">
        <x:is>
          <x:t xml:space="preserve">La notoriété dépasse peu le réseau immédiat.</x:t>
        </x:is>
      </x:c>
      <x:c r="L61" s="30" t="inlineStr">
        <x:is>
          <x:t xml:space="preserve">L’acquisition peut dépendre fortement des relations personnelles.</x:t>
        </x:is>
      </x:c>
      <x:c r="M61" s="30" t="inlineStr">
        <x:is>
          <x:t xml:space="preserve">Quelle part de vos nouveaux clients vient de personnes qui ne vous connaissaient pas auparavant ?</x:t>
        </x:is>
      </x:c>
      <x:c r="N61" s="30" t="inlineStr">
        <x:is>
          <x:t xml:space="preserve">Mesurer l’ouverture au marché.</x:t>
        </x:is>
      </x:c>
    </x:row>
    <x:row r="62" ht="41.25" customHeight="1">
      <x:c r="A62" s="30" t="inlineStr">
        <x:is>
          <x:t xml:space="preserve">R1B</x:t>
        </x:is>
      </x:c>
      <x:c r="B62" s="30" t="inlineStr">
        <x:is>
          <x:t xml:space="preserve">Rayonnement</x:t>
        </x:is>
      </x:c>
      <x:c r="C62" s="30" t="n">
        <x:v>1</x:v>
      </x:c>
      <x:c r="D62" s="30" t="inlineStr">
        <x:is>
          <x:t xml:space="preserve">En dehors de vos clients actuels, jusqu’où votre entreprise est-elle connue ?</x:t>
        </x:is>
      </x:c>
      <x:c r="E62" s="30" t="inlineStr">
        <x:is>
          <x:t xml:space="preserve">Elle commence à être connue par des personnes situées dans ma zone.</x:t>
        </x:is>
      </x:c>
      <x:c r="F62" s="30" t="inlineStr">
        <x:is>
          <x:t xml:space="preserve">Notoriété</x:t>
        </x:is>
      </x:c>
      <x:c r="G62" s="30" t="inlineStr">
        <x:is>
          <x:t xml:space="preserve">Difficulté</x:t>
        </x:is>
      </x:c>
      <x:c r="H62" s="45" t="n">
        <x:v>2</x:v>
      </x:c>
      <x:c r="I62" s="30" t="inlineStr">
        <x:is>
          <x:t xml:space="preserve">Modérée</x:t>
        </x:is>
      </x:c>
      <x:c r="J62" s="30" t="inlineStr">
        <x:is>
          <x:t xml:space="preserve">L’entreprise commence à être connue dans sa zone.</x:t>
        </x:is>
      </x:c>
      <x:c r="K62" s="30" t="inlineStr">
        <x:is>
          <x:t xml:space="preserve">La reconnaissance reste principalement locale.</x:t>
        </x:is>
      </x:c>
      <x:c r="L62" s="30" t="inlineStr">
        <x:is>
          <x:t xml:space="preserve">Le développement hors de la zone actuelle peut être limité.</x:t>
        </x:is>
      </x:c>
      <x:c r="M62" s="30" t="inlineStr">
        <x:is>
          <x:t xml:space="preserve">Qu’est-ce qui vous empêche aujourd’hui d’être connu au-delà de votre zone ?</x:t>
        </x:is>
      </x:c>
      <x:c r="N62" s="30" t="inlineStr">
        <x:is>
          <x:t xml:space="preserve">Comprendre la limite de portée.</x:t>
        </x:is>
      </x:c>
    </x:row>
    <x:row r="63" ht="41.25" customHeight="1">
      <x:c r="A63" s="30" t="inlineStr">
        <x:is>
          <x:t xml:space="preserve">R1C</x:t>
        </x:is>
      </x:c>
      <x:c r="B63" s="30" t="inlineStr">
        <x:is>
          <x:t xml:space="preserve">Rayonnement</x:t>
        </x:is>
      </x:c>
      <x:c r="C63" s="30" t="n">
        <x:v>1</x:v>
      </x:c>
      <x:c r="D63" s="30" t="inlineStr">
        <x:is>
          <x:t xml:space="preserve">En dehors de vos clients actuels, jusqu’où votre entreprise est-elle connue ?</x:t>
        </x:is>
      </x:c>
      <x:c r="E63" s="30" t="inlineStr">
        <x:is>
          <x:t xml:space="preserve">Elle est régulièrement identifiée par des prospects de mon secteur.</x:t>
        </x:is>
      </x:c>
      <x:c r="F63" s="30" t="inlineStr">
        <x:is>
          <x:t xml:space="preserve">Notoriété</x:t>
        </x:is>
      </x:c>
      <x:c r="G63" s="30" t="inlineStr">
        <x:is>
          <x:t xml:space="preserve">Point de vigilance</x:t>
        </x:is>
      </x:c>
      <x:c r="H63" s="45" t="n">
        <x:v>1</x:v>
      </x:c>
      <x:c r="I63" s="30" t="inlineStr">
        <x:is>
          <x:t xml:space="preserve">Légère</x:t>
        </x:is>
      </x:c>
      <x:c r="J63" s="30" t="inlineStr">
        <x:is>
          <x:t xml:space="preserve">L’entreprise est identifiée par des prospects de son secteur.</x:t>
        </x:is>
      </x:c>
      <x:c r="K63" s="30" t="inlineStr">
        <x:is>
          <x:t xml:space="preserve">La reconnaissance existe, mais n’est pas encore large sur le marché visé.</x:t>
        </x:is>
      </x:c>
      <x:c r="L63" s="30" t="inlineStr">
        <x:is>
          <x:t xml:space="preserve">La marque peut devoir convertir cette reconnaissance en préférence.</x:t>
        </x:is>
      </x:c>
      <x:c r="M63" s="30" t="inlineStr">
        <x:is>
          <x:t xml:space="preserve">Les prospects qui vous connaissent comprennent-ils clairement pourquoi vous choisir ?</x:t>
        </x:is>
      </x:c>
      <x:c r="N63" s="30" t="inlineStr">
        <x:is>
          <x:t xml:space="preserve">Passer de la reconnaissance à la préférence.</x:t>
        </x:is>
      </x:c>
    </x:row>
    <x:row r="64" ht="41.25" customHeight="1">
      <x:c r="A64" s="30" t="inlineStr">
        <x:is>
          <x:t xml:space="preserve">R1D</x:t>
        </x:is>
      </x:c>
      <x:c r="B64" s="30" t="inlineStr">
        <x:is>
          <x:t xml:space="preserve">Rayonnement</x:t>
        </x:is>
      </x:c>
      <x:c r="C64" s="30" t="n">
        <x:v>1</x:v>
      </x:c>
      <x:c r="D64" s="30" t="inlineStr">
        <x:is>
          <x:t xml:space="preserve">En dehors de vos clients actuels, jusqu’où votre entreprise est-elle connue ?</x:t>
        </x:is>
      </x:c>
      <x:c r="E64" s="30" t="inlineStr">
        <x:is>
          <x:t xml:space="preserve">Elle est reconnue par une partie importante du marché que je vise.</x:t>
        </x:is>
      </x:c>
      <x:c r="F64" s="30" t="inlineStr">
        <x:is>
          <x:t xml:space="preserve">Notoriété</x:t>
        </x:is>
      </x:c>
      <x:c r="G64" s="30" t="inlineStr">
        <x:is>
          <x:t xml:space="preserve">Force</x:t>
        </x:is>
      </x:c>
      <x:c r="H64" s="45" t="n">
        <x:v>0</x:v>
      </x:c>
      <x:c r="I64" s="30" t="inlineStr">
        <x:is>
          <x:t xml:space="preserve">Aucune alerte</x:t>
        </x:is>
      </x:c>
      <x:c r="J64" s="30" t="inlineStr">
        <x:is>
          <x:t xml:space="preserve">L’entreprise est reconnue par une partie importante de son marché cible.</x:t>
        </x:is>
      </x:c>
      <x:c r="K64" s="30" t="str"/>
      <x:c r="L64" s="30" t="str"/>
      <x:c r="M64" s="30" t="inlineStr">
        <x:is>
          <x:t xml:space="preserve">Quels éléments ont le plus contribué à cette reconnaissance ?</x:t>
        </x:is>
      </x:c>
      <x:c r="N64" s="30" t="inlineStr">
        <x:is>
          <x:t xml:space="preserve">Identifier les actifs de notoriété.</x:t>
        </x:is>
      </x:c>
    </x:row>
    <x:row r="65" ht="41.25" customHeight="1">
      <x:c r="A65" s="30" t="inlineStr">
        <x:is>
          <x:t xml:space="preserve">R2A</x:t>
        </x:is>
      </x:c>
      <x:c r="B65" s="30" t="inlineStr">
        <x:is>
          <x:t xml:space="preserve">Rayonnement</x:t>
        </x:is>
      </x:c>
      <x:c r="C65" s="30" t="n">
        <x:v>2</x:v>
      </x:c>
      <x:c r="D65" s="30" t="inlineStr">
        <x:is>
          <x:t xml:space="preserve">Lorsqu’un prospect choisit un concurrent, savez-vous généralement pourquoi ?</x:t>
        </x:is>
      </x:c>
      <x:c r="E65" s="30" t="inlineStr">
        <x:is>
          <x:t xml:space="preserve">Je reçois rarement des informations sur les raisons de son choix.</x:t>
        </x:is>
      </x:c>
      <x:c r="F65" s="30" t="inlineStr">
        <x:is>
          <x:t xml:space="preserve">Lecture concurrentielle</x:t>
        </x:is>
      </x:c>
      <x:c r="G65" s="30" t="inlineStr">
        <x:is>
          <x:t xml:space="preserve">Difficulté</x:t>
        </x:is>
      </x:c>
      <x:c r="H65" s="45" t="n">
        <x:v>3</x:v>
      </x:c>
      <x:c r="I65" s="30" t="inlineStr">
        <x:is>
          <x:t xml:space="preserve">Élevée</x:t>
        </x:is>
      </x:c>
      <x:c r="J65" s="30" t="inlineStr">
        <x:is>
          <x:t xml:space="preserve">Les raisons qui conduisent un prospect chez un concurrent sont rarement connues.</x:t>
        </x:is>
      </x:c>
      <x:c r="K65" s="30" t="inlineStr">
        <x:is>
          <x:t xml:space="preserve">Les pertes commerciales ne produisent presque aucune information exploitable.</x:t>
        </x:is>
      </x:c>
      <x:c r="L65" s="30" t="inlineStr">
        <x:is>
          <x:t xml:space="preserve">Les décisions commerciales peuvent être prises sans comprendre les arbitrages du marché.</x:t>
        </x:is>
      </x:c>
      <x:c r="M65" s="30" t="inlineStr">
        <x:is>
          <x:t xml:space="preserve">Comment analysez-vous aujourd’hui une opportunité commerciale perdue ?</x:t>
        </x:is>
      </x:c>
      <x:c r="N65" s="30" t="inlineStr">
        <x:is>
          <x:t xml:space="preserve">Évaluer la connaissance des pertes.</x:t>
        </x:is>
      </x:c>
    </x:row>
    <x:row r="66" ht="41.25" customHeight="1">
      <x:c r="A66" s="30" t="inlineStr">
        <x:is>
          <x:t xml:space="preserve">R2B</x:t>
        </x:is>
      </x:c>
      <x:c r="B66" s="30" t="inlineStr">
        <x:is>
          <x:t xml:space="preserve">Rayonnement</x:t>
        </x:is>
      </x:c>
      <x:c r="C66" s="30" t="n">
        <x:v>2</x:v>
      </x:c>
      <x:c r="D66" s="30" t="inlineStr">
        <x:is>
          <x:t xml:space="preserve">Lorsqu’un prospect choisit un concurrent, savez-vous généralement pourquoi ?</x:t>
        </x:is>
      </x:c>
      <x:c r="E66" s="30" t="inlineStr">
        <x:is>
          <x:t xml:space="preserve">J’essaie de comprendre sa décision à partir de ce que j’observe.</x:t>
        </x:is>
      </x:c>
      <x:c r="F66" s="30" t="inlineStr">
        <x:is>
          <x:t xml:space="preserve">Lecture concurrentielle</x:t>
        </x:is>
      </x:c>
      <x:c r="G66" s="30" t="inlineStr">
        <x:is>
          <x:t xml:space="preserve">Difficulté</x:t>
        </x:is>
      </x:c>
      <x:c r="H66" s="45" t="n">
        <x:v>2</x:v>
      </x:c>
      <x:c r="I66" s="30" t="inlineStr">
        <x:is>
          <x:t xml:space="preserve">Modérée</x:t>
        </x:is>
      </x:c>
      <x:c r="J66" s="30" t="inlineStr">
        <x:is>
          <x:t xml:space="preserve">Les raisons du choix d’un concurrent sont principalement déduites par observation.</x:t>
        </x:is>
      </x:c>
      <x:c r="K66" s="30" t="inlineStr">
        <x:is>
          <x:t xml:space="preserve">La lecture des pertes repose surtout sur des suppositions.</x:t>
        </x:is>
      </x:c>
      <x:c r="L66" s="30" t="inlineStr">
        <x:is>
          <x:t xml:space="preserve">Certaines causes réelles de perte peuvent être mal interprétées.</x:t>
        </x:is>
      </x:c>
      <x:c r="M66" s="30" t="inlineStr">
        <x:is>
          <x:t xml:space="preserve">Quand avez-vous demandé pour la dernière fois à un prospect pourquoi il n’a pas choisi votre offre ?</x:t>
        </x:is>
      </x:c>
      <x:c r="N66" s="30" t="inlineStr">
        <x:is>
          <x:t xml:space="preserve">Tester l’accès au retour direct.</x:t>
        </x:is>
      </x:c>
    </x:row>
    <x:row r="67" ht="41.25" customHeight="1">
      <x:c r="A67" s="30" t="inlineStr">
        <x:is>
          <x:t xml:space="preserve">R2C</x:t>
        </x:is>
      </x:c>
      <x:c r="B67" s="30" t="inlineStr">
        <x:is>
          <x:t xml:space="preserve">Rayonnement</x:t>
        </x:is>
      </x:c>
      <x:c r="C67" s="30" t="n">
        <x:v>2</x:v>
      </x:c>
      <x:c r="D67" s="30" t="inlineStr">
        <x:is>
          <x:t xml:space="preserve">Lorsqu’un prospect choisit un concurrent, savez-vous généralement pourquoi ?</x:t>
        </x:is>
      </x:c>
      <x:c r="E67" s="30" t="inlineStr">
        <x:is>
          <x:t xml:space="preserve">Il m’arrive de lui demander ce qui a motivé son choix.</x:t>
        </x:is>
      </x:c>
      <x:c r="F67" s="30" t="inlineStr">
        <x:is>
          <x:t xml:space="preserve">Lecture concurrentielle</x:t>
        </x:is>
      </x:c>
      <x:c r="G67" s="30" t="inlineStr">
        <x:is>
          <x:t xml:space="preserve">Point de vigilance</x:t>
        </x:is>
      </x:c>
      <x:c r="H67" s="45" t="n">
        <x:v>1</x:v>
      </x:c>
      <x:c r="I67" s="30" t="inlineStr">
        <x:is>
          <x:t xml:space="preserve">Légère</x:t>
        </x:is>
      </x:c>
      <x:c r="J67" s="30" t="inlineStr">
        <x:is>
          <x:t xml:space="preserve">Les raisons du choix d’un concurrent sont parfois demandées au prospect.</x:t>
        </x:is>
      </x:c>
      <x:c r="K67" s="30" t="inlineStr">
        <x:is>
          <x:t xml:space="preserve">Le retour sur les pertes existe, mais n’est pas systématique.</x:t>
        </x:is>
      </x:c>
      <x:c r="L67" s="30" t="inlineStr">
        <x:is>
          <x:t xml:space="preserve">Les enseignements peuvent rester anecdotiques et difficiles à comparer.</x:t>
        </x:is>
      </x:c>
      <x:c r="M67" s="30" t="inlineStr">
        <x:is>
          <x:t xml:space="preserve">Où conservez-vous les raisons recueillies auprès des prospects perdus ?</x:t>
        </x:is>
      </x:c>
      <x:c r="N67" s="30" t="inlineStr">
        <x:is>
          <x:t xml:space="preserve">Vérifier la capitalisation des retours.</x:t>
        </x:is>
      </x:c>
    </x:row>
    <x:row r="68" ht="41.25" customHeight="1">
      <x:c r="A68" s="30" t="inlineStr">
        <x:is>
          <x:t xml:space="preserve">R2D</x:t>
        </x:is>
      </x:c>
      <x:c r="B68" s="30" t="inlineStr">
        <x:is>
          <x:t xml:space="preserve">Rayonnement</x:t>
        </x:is>
      </x:c>
      <x:c r="C68" s="30" t="n">
        <x:v>2</x:v>
      </x:c>
      <x:c r="D68" s="30" t="inlineStr">
        <x:is>
          <x:t xml:space="preserve">Lorsqu’un prospect choisit un concurrent, savez-vous généralement pourquoi ?</x:t>
        </x:is>
      </x:c>
      <x:c r="E68" s="30" t="inlineStr">
        <x:is>
          <x:t xml:space="preserve">Je recueille régulièrement ces raisons pour mieux comprendre mon marché.</x:t>
        </x:is>
      </x:c>
      <x:c r="F68" s="30" t="inlineStr">
        <x:is>
          <x:t xml:space="preserve">Lecture concurrentielle</x:t>
        </x:is>
      </x:c>
      <x:c r="G68" s="30" t="inlineStr">
        <x:is>
          <x:t xml:space="preserve">Force</x:t>
        </x:is>
      </x:c>
      <x:c r="H68" s="45" t="n">
        <x:v>0</x:v>
      </x:c>
      <x:c r="I68" s="30" t="inlineStr">
        <x:is>
          <x:t xml:space="preserve">Aucune alerte</x:t>
        </x:is>
      </x:c>
      <x:c r="J68" s="30" t="inlineStr">
        <x:is>
          <x:t xml:space="preserve">Les raisons de perte sont recueillies régulièrement pour comprendre le marché.</x:t>
        </x:is>
      </x:c>
      <x:c r="K68" s="30" t="str"/>
      <x:c r="L68" s="30" t="str"/>
      <x:c r="M68" s="30" t="inlineStr">
        <x:is>
          <x:t xml:space="preserve">Quelles raisons reviennent le plus souvent dans vos pertes commerciales ?</x:t>
        </x:is>
      </x:c>
      <x:c r="N68" s="30" t="inlineStr">
        <x:is>
          <x:t xml:space="preserve">Exploiter la connaissance existante.</x:t>
        </x:is>
      </x:c>
    </x:row>
    <x:row r="69" ht="41.25" customHeight="1">
      <x:c r="A69" s="30" t="inlineStr">
        <x:is>
          <x:t xml:space="preserve">R3A</x:t>
        </x:is>
      </x:c>
      <x:c r="B69" s="30" t="inlineStr">
        <x:is>
          <x:t xml:space="preserve">Rayonnement</x:t>
        </x:is>
      </x:c>
      <x:c r="C69" s="30" t="n">
        <x:v>3</x:v>
      </x:c>
      <x:c r="D69" s="30" t="inlineStr">
        <x:is>
          <x:t xml:space="preserve">Pour quelle raison vos clients vous choisissent-ils principalement ?</x:t>
        </x:is>
      </x:c>
      <x:c r="E69" s="30" t="inlineStr">
        <x:is>
          <x:t xml:space="preserve">Ils viennent souvent vers moi parce que mes prix leur conviennent.</x:t>
        </x:is>
      </x:c>
      <x:c r="F69" s="30" t="inlineStr">
        <x:is>
          <x:t xml:space="preserve">Différenciation</x:t>
        </x:is>
      </x:c>
      <x:c r="G69" s="30" t="inlineStr">
        <x:is>
          <x:t xml:space="preserve">Contexte</x:t>
        </x:is>
      </x:c>
      <x:c r="H69" s="45" t="n">
        <x:v>0</x:v>
      </x:c>
      <x:c r="I69" s="30" t="inlineStr">
        <x:is>
          <x:t xml:space="preserve">Aucune alerte</x:t>
        </x:is>
      </x:c>
      <x:c r="J69" s="30" t="inlineStr">
        <x:is>
          <x:t xml:space="preserve">La principale raison de choix déclarée est le prix.</x:t>
        </x:is>
      </x:c>
      <x:c r="K69" s="30" t="str"/>
      <x:c r="L69" s="30" t="inlineStr">
        <x:is>
          <x:t xml:space="preserve">La solidité de cet avantage dépend de la capacité à le maintenir sans fragiliser la marge.</x:t>
        </x:is>
      </x:c>
      <x:c r="M69" s="30" t="inlineStr">
        <x:is>
          <x:t xml:space="preserve">Que se passe-t-il lorsqu’un concurrent propose un prix inférieur ?</x:t>
        </x:is>
      </x:c>
      <x:c r="N69" s="30" t="inlineStr">
        <x:is>
          <x:t xml:space="preserve">Comprendre la solidité de la différenciation.</x:t>
        </x:is>
      </x:c>
    </x:row>
    <x:row r="70" ht="41.25" customHeight="1">
      <x:c r="A70" s="30" t="inlineStr">
        <x:is>
          <x:t xml:space="preserve">R3B</x:t>
        </x:is>
      </x:c>
      <x:c r="B70" s="30" t="inlineStr">
        <x:is>
          <x:t xml:space="preserve">Rayonnement</x:t>
        </x:is>
      </x:c>
      <x:c r="C70" s="30" t="n">
        <x:v>3</x:v>
      </x:c>
      <x:c r="D70" s="30" t="inlineStr">
        <x:is>
          <x:t xml:space="preserve">Pour quelle raison vos clients vous choisissent-ils principalement ?</x:t>
        </x:is>
      </x:c>
      <x:c r="E70" s="30" t="inlineStr">
        <x:is>
          <x:t xml:space="preserve">Ils me choisissent parce que je suis proche d’eux et facilement accessible.</x:t>
        </x:is>
      </x:c>
      <x:c r="F70" s="30" t="inlineStr">
        <x:is>
          <x:t xml:space="preserve">Différenciation</x:t>
        </x:is>
      </x:c>
      <x:c r="G70" s="30" t="inlineStr">
        <x:is>
          <x:t xml:space="preserve">Contexte</x:t>
        </x:is>
      </x:c>
      <x:c r="H70" s="45" t="n">
        <x:v>0</x:v>
      </x:c>
      <x:c r="I70" s="30" t="inlineStr">
        <x:is>
          <x:t xml:space="preserve">Aucune alerte</x:t>
        </x:is>
      </x:c>
      <x:c r="J70" s="30" t="inlineStr">
        <x:is>
          <x:t xml:space="preserve">La principale raison de choix déclarée est la proximité.</x:t>
        </x:is>
      </x:c>
      <x:c r="K70" s="30" t="str"/>
      <x:c r="L70" s="30" t="inlineStr">
        <x:is>
          <x:t xml:space="preserve">L’avantage peut dépendre de la présence personnelle ou géographique.</x:t>
        </x:is>
      </x:c>
      <x:c r="M70" s="30" t="inlineStr">
        <x:is>
          <x:t xml:space="preserve">Cette proximité reste-t-elle perceptible lorsque le volume de clients augmente ?</x:t>
        </x:is>
      </x:c>
      <x:c r="N70" s="30" t="inlineStr">
        <x:is>
          <x:t xml:space="preserve">Comprendre la capacité à maintenir l’avantage.</x:t>
        </x:is>
      </x:c>
    </x:row>
    <x:row r="71" ht="41.25" customHeight="1">
      <x:c r="A71" s="30" t="inlineStr">
        <x:is>
          <x:t xml:space="preserve">R3C</x:t>
        </x:is>
      </x:c>
      <x:c r="B71" s="30" t="inlineStr">
        <x:is>
          <x:t xml:space="preserve">Rayonnement</x:t>
        </x:is>
      </x:c>
      <x:c r="C71" s="30" t="n">
        <x:v>3</x:v>
      </x:c>
      <x:c r="D71" s="30" t="inlineStr">
        <x:is>
          <x:t xml:space="preserve">Pour quelle raison vos clients vous choisissent-ils principalement ?</x:t>
        </x:is>
      </x:c>
      <x:c r="E71" s="30" t="inlineStr">
        <x:is>
          <x:t xml:space="preserve">Ils reviennent parce qu’ils font confiance à la qualité de ce que je propose.</x:t>
        </x:is>
      </x:c>
      <x:c r="F71" s="30" t="inlineStr">
        <x:is>
          <x:t xml:space="preserve">Différenciation</x:t>
        </x:is>
      </x:c>
      <x:c r="G71" s="30" t="inlineStr">
        <x:is>
          <x:t xml:space="preserve">Contexte</x:t>
        </x:is>
      </x:c>
      <x:c r="H71" s="45" t="n">
        <x:v>0</x:v>
      </x:c>
      <x:c r="I71" s="30" t="inlineStr">
        <x:is>
          <x:t xml:space="preserve">Aucune alerte</x:t>
        </x:is>
      </x:c>
      <x:c r="J71" s="30" t="inlineStr">
        <x:is>
          <x:t xml:space="preserve">La principale raison de choix déclarée est la qualité.</x:t>
        </x:is>
      </x:c>
      <x:c r="K71" s="30" t="str"/>
      <x:c r="L71" s="30" t="inlineStr">
        <x:is>
          <x:t xml:space="preserve">La qualité doit être rendue visible et prouvée avant l’achat.</x:t>
        </x:is>
      </x:c>
      <x:c r="M71" s="30" t="inlineStr">
        <x:is>
          <x:t xml:space="preserve">Comment un nouveau prospect peut-il vérifier votre niveau de qualité avant de vous choisir ?</x:t>
        </x:is>
      </x:c>
      <x:c r="N71" s="30" t="inlineStr">
        <x:is>
          <x:t xml:space="preserve">Rechercher les preuves de qualité.</x:t>
        </x:is>
      </x:c>
    </x:row>
    <x:row r="72" ht="41.25" customHeight="1">
      <x:c r="A72" s="30" t="inlineStr">
        <x:is>
          <x:t xml:space="preserve">R3D</x:t>
        </x:is>
      </x:c>
      <x:c r="B72" s="30" t="inlineStr">
        <x:is>
          <x:t xml:space="preserve">Rayonnement</x:t>
        </x:is>
      </x:c>
      <x:c r="C72" s="30" t="n">
        <x:v>3</x:v>
      </x:c>
      <x:c r="D72" s="30" t="inlineStr">
        <x:is>
          <x:t xml:space="preserve">Pour quelle raison vos clients vous choisissent-ils principalement ?</x:t>
        </x:is>
      </x:c>
      <x:c r="E72" s="30" t="inlineStr">
        <x:is>
          <x:t xml:space="preserve">Ils trouvent chez moi un avantage qu’ils retrouvent difficilement ailleurs.</x:t>
        </x:is>
      </x:c>
      <x:c r="F72" s="30" t="inlineStr">
        <x:is>
          <x:t xml:space="preserve">Différenciation</x:t>
        </x:is>
      </x:c>
      <x:c r="G72" s="30" t="inlineStr">
        <x:is>
          <x:t xml:space="preserve">Contexte</x:t>
        </x:is>
      </x:c>
      <x:c r="H72" s="45" t="n">
        <x:v>0</x:v>
      </x:c>
      <x:c r="I72" s="30" t="inlineStr">
        <x:is>
          <x:t xml:space="preserve">Aucune alerte</x:t>
        </x:is>
      </x:c>
      <x:c r="J72" s="30" t="inlineStr">
        <x:is>
          <x:t xml:space="preserve">La principale raison de choix déclarée est un avantage difficile à retrouver ailleurs.</x:t>
        </x:is>
      </x:c>
      <x:c r="K72" s="30" t="str"/>
      <x:c r="L72" s="30" t="inlineStr">
        <x:is>
          <x:t xml:space="preserve">Cet avantage doit être formulé et protégé pour rester distinctif.</x:t>
        </x:is>
      </x:c>
      <x:c r="M72" s="30" t="inlineStr">
        <x:is>
          <x:t xml:space="preserve">Pouvez-vous expliquer cet avantage en une phrase et apporter une preuve ?</x:t>
        </x:is>
      </x:c>
      <x:c r="N72" s="30" t="inlineStr">
        <x:is>
          <x:t xml:space="preserve">Tester la clarté de l’avantage.</x:t>
        </x:is>
      </x:c>
    </x:row>
    <x:row r="73" ht="41.25" customHeight="1">
      <x:c r="A73" s="30" t="inlineStr">
        <x:is>
          <x:t xml:space="preserve">R4A</x:t>
        </x:is>
      </x:c>
      <x:c r="B73" s="30" t="inlineStr">
        <x:is>
          <x:t xml:space="preserve">Rayonnement</x:t>
        </x:is>
      </x:c>
      <x:c r="C73" s="30" t="n">
        <x:v>4</x:v>
      </x:c>
      <x:c r="D73" s="30" t="inlineStr">
        <x:is>
          <x:t xml:space="preserve">Une personne qui découvre votre entreprise comprend-elle facilement ce qui vous distingue ?</x:t>
        </x:is>
      </x:c>
      <x:c r="E73" s="30" t="inlineStr">
        <x:is>
          <x:t xml:space="preserve">Je ne saurais pas encore expliquer clairement ce qui me différencie.</x:t>
        </x:is>
      </x:c>
      <x:c r="F73" s="30" t="inlineStr">
        <x:is>
          <x:t xml:space="preserve">Différenciation</x:t>
        </x:is>
      </x:c>
      <x:c r="G73" s="30" t="inlineStr">
        <x:is>
          <x:t xml:space="preserve">Difficulté</x:t>
        </x:is>
      </x:c>
      <x:c r="H73" s="45" t="n">
        <x:v>3</x:v>
      </x:c>
      <x:c r="I73" s="30" t="inlineStr">
        <x:is>
          <x:t xml:space="preserve">Élevée</x:t>
        </x:is>
      </x:c>
      <x:c r="J73" s="30" t="inlineStr">
        <x:is>
          <x:t xml:space="preserve">Le dirigeant ne peut pas encore expliquer clairement ce qui différencie l’entreprise.</x:t>
        </x:is>
      </x:c>
      <x:c r="K73" s="30" t="inlineStr">
        <x:is>
          <x:t xml:space="preserve">La proposition de valeur n’est pas clairement définie.</x:t>
        </x:is>
      </x:c>
      <x:c r="L73" s="30" t="inlineStr">
        <x:is>
          <x:t xml:space="preserve">Les prospects peuvent comparer l’entreprise principalement sur le prix ou la proximité.</x:t>
        </x:is>
      </x:c>
      <x:c r="M73" s="30" t="inlineStr">
        <x:is>
          <x:t xml:space="preserve">Quelle phrase utilisez-vous aujourd’hui pour expliquer pourquoi vous choisir ?</x:t>
        </x:is>
      </x:c>
      <x:c r="N73" s="30" t="inlineStr">
        <x:is>
          <x:t xml:space="preserve">Faire émerger la promesse actuelle.</x:t>
        </x:is>
      </x:c>
    </x:row>
    <x:row r="74" ht="41.25" customHeight="1">
      <x:c r="A74" s="30" t="inlineStr">
        <x:is>
          <x:t xml:space="preserve">R4B</x:t>
        </x:is>
      </x:c>
      <x:c r="B74" s="30" t="inlineStr">
        <x:is>
          <x:t xml:space="preserve">Rayonnement</x:t>
        </x:is>
      </x:c>
      <x:c r="C74" s="30" t="n">
        <x:v>4</x:v>
      </x:c>
      <x:c r="D74" s="30" t="inlineStr">
        <x:is>
          <x:t xml:space="preserve">Une personne qui découvre votre entreprise comprend-elle facilement ce qui vous distingue ?</x:t>
        </x:is>
      </x:c>
      <x:c r="E74" s="30" t="inlineStr">
        <x:is>
          <x:t xml:space="preserve">J’arrive à l’expliquer lorsque je présente personnellement mon activité.</x:t>
        </x:is>
      </x:c>
      <x:c r="F74" s="30" t="inlineStr">
        <x:is>
          <x:t xml:space="preserve">Différenciation</x:t>
        </x:is>
      </x:c>
      <x:c r="G74" s="30" t="inlineStr">
        <x:is>
          <x:t xml:space="preserve">Difficulté</x:t>
        </x:is>
      </x:c>
      <x:c r="H74" s="45" t="n">
        <x:v>2</x:v>
      </x:c>
      <x:c r="I74" s="30" t="inlineStr">
        <x:is>
          <x:t xml:space="preserve">Modérée</x:t>
        </x:is>
      </x:c>
      <x:c r="J74" s="30" t="inlineStr">
        <x:is>
          <x:t xml:space="preserve">La différence est comprise lorsque le dirigeant présente personnellement l’activité.</x:t>
        </x:is>
      </x:c>
      <x:c r="K74" s="30" t="inlineStr">
        <x:is>
          <x:t xml:space="preserve">La proposition de valeur dépend encore de l’explication orale du dirigeant.</x:t>
        </x:is>
      </x:c>
      <x:c r="L74" s="30" t="inlineStr">
        <x:is>
          <x:t xml:space="preserve">La communication autonome peut ne pas transmettre ce qui rend l’offre particulière.</x:t>
        </x:is>
      </x:c>
      <x:c r="M74" s="30" t="inlineStr">
        <x:is>
          <x:t xml:space="preserve">Un prospect qui ne vous parle pas directement comprend-il la même chose ?</x:t>
        </x:is>
      </x:c>
      <x:c r="N74" s="30" t="inlineStr">
        <x:is>
          <x:t xml:space="preserve">Tester l’autonomie de la communication.</x:t>
        </x:is>
      </x:c>
    </x:row>
    <x:row r="75" ht="41.25" customHeight="1">
      <x:c r="A75" s="30" t="inlineStr">
        <x:is>
          <x:t xml:space="preserve">R4C</x:t>
        </x:is>
      </x:c>
      <x:c r="B75" s="30" t="inlineStr">
        <x:is>
          <x:t xml:space="preserve">Rayonnement</x:t>
        </x:is>
      </x:c>
      <x:c r="C75" s="30" t="n">
        <x:v>4</x:v>
      </x:c>
      <x:c r="D75" s="30" t="inlineStr">
        <x:is>
          <x:t xml:space="preserve">Une personne qui découvre votre entreprise comprend-elle facilement ce qui vous distingue ?</x:t>
        </x:is>
      </x:c>
      <x:c r="E75" s="30" t="inlineStr">
        <x:is>
          <x:t xml:space="preserve">Ma différence apparaît déjà dans mes offres et ma communication.</x:t>
        </x:is>
      </x:c>
      <x:c r="F75" s="30" t="inlineStr">
        <x:is>
          <x:t xml:space="preserve">Différenciation</x:t>
        </x:is>
      </x:c>
      <x:c r="G75" s="30" t="inlineStr">
        <x:is>
          <x:t xml:space="preserve">Point de vigilance</x:t>
        </x:is>
      </x:c>
      <x:c r="H75" s="45" t="n">
        <x:v>1</x:v>
      </x:c>
      <x:c r="I75" s="30" t="inlineStr">
        <x:is>
          <x:t xml:space="preserve">Légère</x:t>
        </x:is>
      </x:c>
      <x:c r="J75" s="30" t="inlineStr">
        <x:is>
          <x:t xml:space="preserve">La différence apparaît déjà dans les offres et la communication.</x:t>
        </x:is>
      </x:c>
      <x:c r="K75" s="30" t="inlineStr">
        <x:is>
          <x:t xml:space="preserve">La différenciation est formulée, mais sa reconnaissance spontanée n’est pas encore établie.</x:t>
        </x:is>
      </x:c>
      <x:c r="L75" s="30" t="inlineStr">
        <x:is>
          <x:t xml:space="preserve">Le marché peut voir la différence sans encore l’associer fortement à la marque.</x:t>
        </x:is>
      </x:c>
      <x:c r="M75" s="30" t="inlineStr">
        <x:is>
          <x:t xml:space="preserve">Quelles preuves montrent que les prospects perçoivent réellement cette différence ?</x:t>
        </x:is>
      </x:c>
      <x:c r="N75" s="30" t="inlineStr">
        <x:is>
          <x:t xml:space="preserve">Rechercher une preuve de perception.</x:t>
        </x:is>
      </x:c>
    </x:row>
    <x:row r="76" ht="41.25" customHeight="1">
      <x:c r="A76" s="30" t="inlineStr">
        <x:is>
          <x:t xml:space="preserve">R4D</x:t>
        </x:is>
      </x:c>
      <x:c r="B76" s="30" t="inlineStr">
        <x:is>
          <x:t xml:space="preserve">Rayonnement</x:t>
        </x:is>
      </x:c>
      <x:c r="C76" s="30" t="n">
        <x:v>4</x:v>
      </x:c>
      <x:c r="D76" s="30" t="inlineStr">
        <x:is>
          <x:t xml:space="preserve">Une personne qui découvre votre entreprise comprend-elle facilement ce qui vous distingue ?</x:t>
        </x:is>
      </x:c>
      <x:c r="E76" s="30" t="inlineStr">
        <x:is>
          <x:t xml:space="preserve">Mes clients citent spontanément ce qui rend mon entreprise particulière.</x:t>
        </x:is>
      </x:c>
      <x:c r="F76" s="30" t="inlineStr">
        <x:is>
          <x:t xml:space="preserve">Différenciation</x:t>
        </x:is>
      </x:c>
      <x:c r="G76" s="30" t="inlineStr">
        <x:is>
          <x:t xml:space="preserve">Force</x:t>
        </x:is>
      </x:c>
      <x:c r="H76" s="45" t="n">
        <x:v>0</x:v>
      </x:c>
      <x:c r="I76" s="30" t="inlineStr">
        <x:is>
          <x:t xml:space="preserve">Aucune alerte</x:t>
        </x:is>
      </x:c>
      <x:c r="J76" s="30" t="inlineStr">
        <x:is>
          <x:t xml:space="preserve">Les clients citent spontanément ce qui rend l’entreprise particulière.</x:t>
        </x:is>
      </x:c>
      <x:c r="K76" s="30" t="str"/>
      <x:c r="L76" s="30" t="str"/>
      <x:c r="M76" s="30" t="inlineStr">
        <x:is>
          <x:t xml:space="preserve">Quels mots utilisent-ils le plus souvent pour décrire cette différence ?</x:t>
        </x:is>
      </x:c>
      <x:c r="N76" s="30" t="inlineStr">
        <x:is>
          <x:t xml:space="preserve">Capitaliser sur la perception du marché.</x:t>
        </x:is>
      </x:c>
    </x:row>
    <x:row r="77" ht="41.25" customHeight="1">
      <x:c r="A77" s="30" t="inlineStr">
        <x:is>
          <x:t xml:space="preserve">R5A</x:t>
        </x:is>
      </x:c>
      <x:c r="B77" s="30" t="inlineStr">
        <x:is>
          <x:t xml:space="preserve">Rayonnement</x:t>
        </x:is>
      </x:c>
      <x:c r="C77" s="30" t="n">
        <x:v>5</x:v>
      </x:c>
      <x:c r="D77" s="30" t="inlineStr">
        <x:is>
          <x:t xml:space="preserve">Comment votre entreprise est-elle actuellement présente sur les canaux numériques ?</x:t>
        </x:is>
      </x:c>
      <x:c r="E77" s="30" t="inlineStr">
        <x:is>
          <x:t xml:space="preserve">Mon entreprise y est peu présente ou ne dispose pas encore de page active.</x:t>
        </x:is>
      </x:c>
      <x:c r="F77" s="30" t="inlineStr">
        <x:is>
          <x:t xml:space="preserve">Présence digitale</x:t>
        </x:is>
      </x:c>
      <x:c r="G77" s="30" t="inlineStr">
        <x:is>
          <x:t xml:space="preserve">Difficulté</x:t>
        </x:is>
      </x:c>
      <x:c r="H77" s="45" t="n">
        <x:v>3</x:v>
      </x:c>
      <x:c r="I77" s="30" t="inlineStr">
        <x:is>
          <x:t xml:space="preserve">Élevée</x:t>
        </x:is>
      </x:c>
      <x:c r="J77" s="30" t="inlineStr">
        <x:is>
          <x:t xml:space="preserve">L’entreprise est peu présente ou ne dispose pas de page active.</x:t>
        </x:is>
      </x:c>
      <x:c r="K77" s="30" t="inlineStr">
        <x:is>
          <x:t xml:space="preserve">La présence numérique est insuffisante pour installer une visibilité continue.</x:t>
        </x:is>
      </x:c>
      <x:c r="L77" s="30" t="inlineStr">
        <x:is>
          <x:t xml:space="preserve">Les prospects qui recherchent l’entreprise en ligne peuvent trouver peu d’informations récentes.</x:t>
        </x:is>
      </x:c>
      <x:c r="M77" s="30" t="inlineStr">
        <x:is>
          <x:t xml:space="preserve">Que trouve aujourd’hui un prospect qui recherche votre entreprise sur internet ?</x:t>
        </x:is>
      </x:c>
      <x:c r="N77" s="30" t="inlineStr">
        <x:is>
          <x:t xml:space="preserve">Évaluer la visibilité disponible.</x:t>
        </x:is>
      </x:c>
    </x:row>
    <x:row r="78" ht="41.25" customHeight="1">
      <x:c r="A78" s="30" t="inlineStr">
        <x:is>
          <x:t xml:space="preserve">R5B</x:t>
        </x:is>
      </x:c>
      <x:c r="B78" s="30" t="inlineStr">
        <x:is>
          <x:t xml:space="preserve">Rayonnement</x:t>
        </x:is>
      </x:c>
      <x:c r="C78" s="30" t="n">
        <x:v>5</x:v>
      </x:c>
      <x:c r="D78" s="30" t="inlineStr">
        <x:is>
          <x:t xml:space="preserve">Comment votre entreprise est-elle actuellement présente sur les canaux numériques ?</x:t>
        </x:is>
      </x:c>
      <x:c r="E78" s="30" t="inlineStr">
        <x:is>
          <x:t xml:space="preserve">Je publie principalement lorsque j’ai une actualité ou du temps disponible.</x:t>
        </x:is>
      </x:c>
      <x:c r="F78" s="30" t="inlineStr">
        <x:is>
          <x:t xml:space="preserve">Présence digitale</x:t>
        </x:is>
      </x:c>
      <x:c r="G78" s="30" t="inlineStr">
        <x:is>
          <x:t xml:space="preserve">Difficulté</x:t>
        </x:is>
      </x:c>
      <x:c r="H78" s="45" t="n">
        <x:v>2</x:v>
      </x:c>
      <x:c r="I78" s="30" t="inlineStr">
        <x:is>
          <x:t xml:space="preserve">Modérée</x:t>
        </x:is>
      </x:c>
      <x:c r="J78" s="30" t="inlineStr">
        <x:is>
          <x:t xml:space="preserve">La publication dépend principalement des actualités ou du temps disponible.</x:t>
        </x:is>
      </x:c>
      <x:c r="K78" s="30" t="inlineStr">
        <x:is>
          <x:t xml:space="preserve">La présence numérique est irrégulière.</x:t>
        </x:is>
      </x:c>
      <x:c r="L78" s="30" t="inlineStr">
        <x:is>
          <x:t xml:space="preserve">La marque peut disparaître de l’attention du marché entre deux publications.</x:t>
        </x:is>
      </x:c>
      <x:c r="M78" s="30" t="inlineStr">
        <x:is>
          <x:t xml:space="preserve">Quelle est la principale raison des périodes sans communication ?</x:t>
        </x:is>
      </x:c>
      <x:c r="N78" s="30" t="inlineStr">
        <x:is>
          <x:t xml:space="preserve">Identifier la cause de l’irrégularité.</x:t>
        </x:is>
      </x:c>
    </x:row>
    <x:row r="79" ht="41.25" customHeight="1">
      <x:c r="A79" s="30" t="inlineStr">
        <x:is>
          <x:t xml:space="preserve">R5C</x:t>
        </x:is>
      </x:c>
      <x:c r="B79" s="30" t="inlineStr">
        <x:is>
          <x:t xml:space="preserve">Rayonnement</x:t>
        </x:is>
      </x:c>
      <x:c r="C79" s="30" t="n">
        <x:v>5</x:v>
      </x:c>
      <x:c r="D79" s="30" t="inlineStr">
        <x:is>
          <x:t xml:space="preserve">Comment votre entreprise est-elle actuellement présente sur les canaux numériques ?</x:t>
        </x:is>
      </x:c>
      <x:c r="E79" s="30" t="inlineStr">
        <x:is>
          <x:t xml:space="preserve">Je communique régulièrement sur le canal que j’utilise le plus.</x:t>
        </x:is>
      </x:c>
      <x:c r="F79" s="30" t="inlineStr">
        <x:is>
          <x:t xml:space="preserve">Présence digitale</x:t>
        </x:is>
      </x:c>
      <x:c r="G79" s="30" t="inlineStr">
        <x:is>
          <x:t xml:space="preserve">Point de vigilance</x:t>
        </x:is>
      </x:c>
      <x:c r="H79" s="45" t="n">
        <x:v>1</x:v>
      </x:c>
      <x:c r="I79" s="30" t="inlineStr">
        <x:is>
          <x:t xml:space="preserve">Légère</x:t>
        </x:is>
      </x:c>
      <x:c r="J79" s="30" t="inlineStr">
        <x:is>
          <x:t xml:space="preserve">La communication est régulière sur un canal principal.</x:t>
        </x:is>
      </x:c>
      <x:c r="K79" s="30" t="inlineStr">
        <x:is>
          <x:t xml:space="preserve">La présence numérique repose essentiellement sur un seul canal.</x:t>
        </x:is>
      </x:c>
      <x:c r="L79" s="30" t="inlineStr">
        <x:is>
          <x:t xml:space="preserve">La portée et l’acquisition peuvent dépendre fortement de ce canal.</x:t>
        </x:is>
      </x:c>
      <x:c r="M79" s="30" t="inlineStr">
        <x:is>
          <x:t xml:space="preserve">Que se passerait-il si ce canal produisait soudainement moins de résultats ?</x:t>
        </x:is>
      </x:c>
      <x:c r="N79" s="30" t="inlineStr">
        <x:is>
          <x:t xml:space="preserve">Évaluer la dépendance au canal.</x:t>
        </x:is>
      </x:c>
    </x:row>
    <x:row r="80" ht="41.25" customHeight="1">
      <x:c r="A80" s="30" t="inlineStr">
        <x:is>
          <x:t xml:space="preserve">R5D</x:t>
        </x:is>
      </x:c>
      <x:c r="B80" s="30" t="inlineStr">
        <x:is>
          <x:t xml:space="preserve">Rayonnement</x:t>
        </x:is>
      </x:c>
      <x:c r="C80" s="30" t="n">
        <x:v>5</x:v>
      </x:c>
      <x:c r="D80" s="30" t="inlineStr">
        <x:is>
          <x:t xml:space="preserve">Comment votre entreprise est-elle actuellement présente sur les canaux numériques ?</x:t>
        </x:is>
      </x:c>
      <x:c r="E80" s="30" t="inlineStr">
        <x:is>
          <x:t xml:space="preserve">Je maintiens une présence continue sur les canaux utiles à mon activité.</x:t>
        </x:is>
      </x:c>
      <x:c r="F80" s="30" t="inlineStr">
        <x:is>
          <x:t xml:space="preserve">Présence digitale</x:t>
        </x:is>
      </x:c>
      <x:c r="G80" s="30" t="inlineStr">
        <x:is>
          <x:t xml:space="preserve">Force</x:t>
        </x:is>
      </x:c>
      <x:c r="H80" s="45" t="n">
        <x:v>0</x:v>
      </x:c>
      <x:c r="I80" s="30" t="inlineStr">
        <x:is>
          <x:t xml:space="preserve">Aucune alerte</x:t>
        </x:is>
      </x:c>
      <x:c r="J80" s="30" t="inlineStr">
        <x:is>
          <x:t xml:space="preserve">L’entreprise maintient une présence continue sur les canaux utiles à son activité.</x:t>
        </x:is>
      </x:c>
      <x:c r="K80" s="30" t="str"/>
      <x:c r="L80" s="30" t="str"/>
      <x:c r="M80" s="30" t="inlineStr">
        <x:is>
          <x:t xml:space="preserve">Quels canaux contribuent réellement aux demandes commerciales ?</x:t>
        </x:is>
      </x:c>
      <x:c r="N80" s="30" t="inlineStr">
        <x:is>
          <x:t xml:space="preserve">Identifier les canaux les plus utiles.</x:t>
        </x:is>
      </x:c>
    </x:row>
    <x:row r="81" ht="41.25" customHeight="1">
      <x:c r="A81" s="30" t="inlineStr">
        <x:is>
          <x:t xml:space="preserve">R6A</x:t>
        </x:is>
      </x:c>
      <x:c r="B81" s="30" t="inlineStr">
        <x:is>
          <x:t xml:space="preserve">Rayonnement</x:t>
        </x:is>
      </x:c>
      <x:c r="C81" s="30" t="n">
        <x:v>6</x:v>
      </x:c>
      <x:c r="D81" s="30" t="inlineStr">
        <x:is>
          <x:t xml:space="preserve">Que produit concrètement votre présence numérique pour votre entreprise ?</x:t>
        </x:is>
      </x:c>
      <x:c r="E81" s="30" t="inlineStr">
        <x:is>
          <x:t xml:space="preserve">Je ne mesure pas encore réellement ce qu’elle apporte à mon activité.</x:t>
        </x:is>
      </x:c>
      <x:c r="F81" s="30" t="inlineStr">
        <x:is>
          <x:t xml:space="preserve">Performance digitale</x:t>
        </x:is>
      </x:c>
      <x:c r="G81" s="30" t="inlineStr">
        <x:is>
          <x:t xml:space="preserve">Difficulté</x:t>
        </x:is>
      </x:c>
      <x:c r="H81" s="45" t="n">
        <x:v>3</x:v>
      </x:c>
      <x:c r="I81" s="30" t="inlineStr">
        <x:is>
          <x:t xml:space="preserve">Élevée</x:t>
        </x:is>
      </x:c>
      <x:c r="J81" s="30" t="inlineStr">
        <x:is>
          <x:t xml:space="preserve">L’apport réel de la présence numérique n’est pas mesuré.</x:t>
        </x:is>
      </x:c>
      <x:c r="K81" s="30" t="inlineStr">
        <x:is>
          <x:t xml:space="preserve">L’entreprise ne sait pas ce que le digital produit pour l’activité.</x:t>
        </x:is>
      </x:c>
      <x:c r="L81" s="30" t="inlineStr">
        <x:is>
          <x:t xml:space="preserve">Il est difficile d’identifier les actions qui méritent d’être maintenues ou corrigées.</x:t>
        </x:is>
      </x:c>
      <x:c r="M81" s="30" t="inlineStr">
        <x:is>
          <x:t xml:space="preserve">Quelles données relient aujourd’hui vos actions numériques à vos résultats commerciaux ?</x:t>
        </x:is>
      </x:c>
      <x:c r="N81" s="30" t="inlineStr">
        <x:is>
          <x:t xml:space="preserve">Identifier le niveau de mesure.</x:t>
        </x:is>
      </x:c>
    </x:row>
    <x:row r="82" ht="41.25" customHeight="1">
      <x:c r="A82" s="30" t="inlineStr">
        <x:is>
          <x:t xml:space="preserve">R6B</x:t>
        </x:is>
      </x:c>
      <x:c r="B82" s="30" t="inlineStr">
        <x:is>
          <x:t xml:space="preserve">Rayonnement</x:t>
        </x:is>
      </x:c>
      <x:c r="C82" s="30" t="n">
        <x:v>6</x:v>
      </x:c>
      <x:c r="D82" s="30" t="inlineStr">
        <x:is>
          <x:t xml:space="preserve">Que produit concrètement votre présence numérique pour votre entreprise ?</x:t>
        </x:is>
      </x:c>
      <x:c r="E82" s="30" t="inlineStr">
        <x:is>
          <x:t xml:space="preserve">Elle me permet surtout d’obtenir de la visibilité et des réactions.</x:t>
        </x:is>
      </x:c>
      <x:c r="F82" s="30" t="inlineStr">
        <x:is>
          <x:t xml:space="preserve">Performance digitale</x:t>
        </x:is>
      </x:c>
      <x:c r="G82" s="30" t="inlineStr">
        <x:is>
          <x:t xml:space="preserve">Difficulté</x:t>
        </x:is>
      </x:c>
      <x:c r="H82" s="45" t="n">
        <x:v>2</x:v>
      </x:c>
      <x:c r="I82" s="30" t="inlineStr">
        <x:is>
          <x:t xml:space="preserve">Modérée</x:t>
        </x:is>
      </x:c>
      <x:c r="J82" s="30" t="inlineStr">
        <x:is>
          <x:t xml:space="preserve">La présence numérique produit surtout de la visibilité et des réactions.</x:t>
        </x:is>
      </x:c>
      <x:c r="K82" s="30" t="inlineStr">
        <x:is>
          <x:t xml:space="preserve">La visibilité numérique se transforme peu en opportunités commerciales identifiables.</x:t>
        </x:is>
      </x:c>
      <x:c r="L82" s="30" t="inlineStr">
        <x:is>
          <x:t xml:space="preserve">Le passage entre attention, demande et vente peut être insuffisamment structuré.</x:t>
        </x:is>
      </x:c>
      <x:c r="M82" s="30" t="inlineStr">
        <x:is>
          <x:t xml:space="preserve">Que doit faire une personne intéressée après avoir vu l’un de vos contenus ?</x:t>
        </x:is>
      </x:c>
      <x:c r="N82" s="30" t="inlineStr">
        <x:is>
          <x:t xml:space="preserve">Explorer le parcours de conversion.</x:t>
        </x:is>
      </x:c>
    </x:row>
    <x:row r="83" ht="41.25" customHeight="1">
      <x:c r="A83" s="30" t="inlineStr">
        <x:is>
          <x:t xml:space="preserve">R6C</x:t>
        </x:is>
      </x:c>
      <x:c r="B83" s="30" t="inlineStr">
        <x:is>
          <x:t xml:space="preserve">Rayonnement</x:t>
        </x:is>
      </x:c>
      <x:c r="C83" s="30" t="n">
        <x:v>6</x:v>
      </x:c>
      <x:c r="D83" s="30" t="inlineStr">
        <x:is>
          <x:t xml:space="preserve">Que produit concrètement votre présence numérique pour votre entreprise ?</x:t>
        </x:is>
      </x:c>
      <x:c r="E83" s="30" t="inlineStr">
        <x:is>
          <x:t xml:space="preserve">Elle génère régulièrement des demandes d’information ou de devis.</x:t>
        </x:is>
      </x:c>
      <x:c r="F83" s="30" t="inlineStr">
        <x:is>
          <x:t xml:space="preserve">Performance digitale</x:t>
        </x:is>
      </x:c>
      <x:c r="G83" s="30" t="inlineStr">
        <x:is>
          <x:t xml:space="preserve">Point de vigilance</x:t>
        </x:is>
      </x:c>
      <x:c r="H83" s="45" t="n">
        <x:v>1</x:v>
      </x:c>
      <x:c r="I83" s="30" t="inlineStr">
        <x:is>
          <x:t xml:space="preserve">Légère</x:t>
        </x:is>
      </x:c>
      <x:c r="J83" s="30" t="inlineStr">
        <x:is>
          <x:t xml:space="preserve">La présence numérique génère régulièrement des demandes ou des devis.</x:t>
        </x:is>
      </x:c>
      <x:c r="K83" s="30" t="inlineStr">
        <x:is>
          <x:t xml:space="preserve">Les opportunités existent, mais leur transformation en ventes n’est pas encore démontrée.</x:t>
        </x:is>
      </x:c>
      <x:c r="L83" s="30" t="inlineStr">
        <x:is>
          <x:t xml:space="preserve">Le suivi entre la demande initiale et la vente peut manquer de mesure.</x:t>
        </x:is>
      </x:c>
      <x:c r="M83" s="30" t="inlineStr">
        <x:is>
          <x:t xml:space="preserve">Quelle proportion de ces demandes devient réellement cliente ?</x:t>
        </x:is>
      </x:c>
      <x:c r="N83" s="30" t="inlineStr">
        <x:is>
          <x:t xml:space="preserve">Mesurer la conversion commerciale.</x:t>
        </x:is>
      </x:c>
    </x:row>
    <x:row r="84" ht="41.25" customHeight="1">
      <x:c r="A84" s="30" t="inlineStr">
        <x:is>
          <x:t xml:space="preserve">R6D</x:t>
        </x:is>
      </x:c>
      <x:c r="B84" s="30" t="inlineStr">
        <x:is>
          <x:t xml:space="preserve">Rayonnement</x:t>
        </x:is>
      </x:c>
      <x:c r="C84" s="30" t="n">
        <x:v>6</x:v>
      </x:c>
      <x:c r="D84" s="30" t="inlineStr">
        <x:is>
          <x:t xml:space="preserve">Que produit concrètement votre présence numérique pour votre entreprise ?</x:t>
        </x:is>
      </x:c>
      <x:c r="E84" s="30" t="inlineStr">
        <x:is>
          <x:t xml:space="preserve">Je peux identifier des ventes directement issues de mes actions numériques.</x:t>
        </x:is>
      </x:c>
      <x:c r="F84" s="30" t="inlineStr">
        <x:is>
          <x:t xml:space="preserve">Performance digitale</x:t>
        </x:is>
      </x:c>
      <x:c r="G84" s="30" t="inlineStr">
        <x:is>
          <x:t xml:space="preserve">Force</x:t>
        </x:is>
      </x:c>
      <x:c r="H84" s="45" t="n">
        <x:v>0</x:v>
      </x:c>
      <x:c r="I84" s="30" t="inlineStr">
        <x:is>
          <x:t xml:space="preserve">Aucune alerte</x:t>
        </x:is>
      </x:c>
      <x:c r="J84" s="30" t="inlineStr">
        <x:is>
          <x:t xml:space="preserve">Des ventes issues des actions numériques peuvent être identifiées.</x:t>
        </x:is>
      </x:c>
      <x:c r="K84" s="30" t="str"/>
      <x:c r="L84" s="30" t="str"/>
      <x:c r="M84" s="30" t="inlineStr">
        <x:is>
          <x:t xml:space="preserve">Quelles actions numériques génèrent le plus de ventes mesurables ?</x:t>
        </x:is>
      </x:c>
      <x:c r="N84" s="30" t="inlineStr">
        <x:is>
          <x:t xml:space="preserve">Capitaliser sur les actions performantes.</x:t>
        </x:is>
      </x:c>
    </x:row>
    <x:row r="85" ht="41.25" customHeight="1">
      <x:c r="A85" s="30" t="inlineStr">
        <x:is>
          <x:t xml:space="preserve">R7A</x:t>
        </x:is>
      </x:c>
      <x:c r="B85" s="30" t="inlineStr">
        <x:is>
          <x:t xml:space="preserve">Rayonnement</x:t>
        </x:is>
      </x:c>
      <x:c r="C85" s="30" t="n">
        <x:v>7</x:v>
      </x:c>
      <x:c r="D85" s="30" t="inlineStr">
        <x:is>
          <x:t xml:space="preserve">Si votre entreprise arrêtait ses activités demain, qui le remarquerait rapidement ?</x:t>
        </x:is>
      </x:c>
      <x:c r="E85" s="30" t="inlineStr">
        <x:is>
          <x:t xml:space="preserve">Les personnes directement impliquées dans mon activité le remarqueraient.</x:t>
        </x:is>
      </x:c>
      <x:c r="F85" s="30" t="inlineStr">
        <x:is>
          <x:t xml:space="preserve">Empreinte marché</x:t>
        </x:is>
      </x:c>
      <x:c r="G85" s="30" t="inlineStr">
        <x:is>
          <x:t xml:space="preserve">Difficulté</x:t>
        </x:is>
      </x:c>
      <x:c r="H85" s="45" t="n">
        <x:v>3</x:v>
      </x:c>
      <x:c r="I85" s="30" t="inlineStr">
        <x:is>
          <x:t xml:space="preserve">Élevée</x:t>
        </x:is>
      </x:c>
      <x:c r="J85" s="30" t="inlineStr">
        <x:is>
          <x:t xml:space="preserve">L’arrêt de l’activité serait surtout remarqué par les personnes directement impliquées.</x:t>
        </x:is>
      </x:c>
      <x:c r="K85" s="30" t="inlineStr">
        <x:is>
          <x:t xml:space="preserve">L’empreinte de l’entreprise reste très limitée au-delà de son fonctionnement interne.</x:t>
        </x:is>
      </x:c>
      <x:c r="L85" s="30" t="inlineStr">
        <x:is>
          <x:t xml:space="preserve">Le marché pourrait remplacer facilement l’offre actuelle.</x:t>
        </x:is>
      </x:c>
      <x:c r="M85" s="30" t="inlineStr">
        <x:is>
          <x:t xml:space="preserve">Qu’est-ce que vos clients perdraient réellement si votre entreprise disparaissait ?</x:t>
        </x:is>
      </x:c>
      <x:c r="N85" s="30" t="inlineStr">
        <x:is>
          <x:t xml:space="preserve">Faire préciser la valeur irremplaçable.</x:t>
        </x:is>
      </x:c>
    </x:row>
    <x:row r="86" ht="41.25" customHeight="1">
      <x:c r="A86" s="30" t="inlineStr">
        <x:is>
          <x:t xml:space="preserve">R7B</x:t>
        </x:is>
      </x:c>
      <x:c r="B86" s="30" t="inlineStr">
        <x:is>
          <x:t xml:space="preserve">Rayonnement</x:t>
        </x:is>
      </x:c>
      <x:c r="C86" s="30" t="n">
        <x:v>7</x:v>
      </x:c>
      <x:c r="D86" s="30" t="inlineStr">
        <x:is>
          <x:t xml:space="preserve">Si votre entreprise arrêtait ses activités demain, qui le remarquerait rapidement ?</x:t>
        </x:is>
      </x:c>
      <x:c r="E86" s="30" t="inlineStr">
        <x:is>
          <x:t xml:space="preserve">Mes clients réguliers ressentiraient rapidement mon absence.</x:t>
        </x:is>
      </x:c>
      <x:c r="F86" s="30" t="inlineStr">
        <x:is>
          <x:t xml:space="preserve">Empreinte marché</x:t>
        </x:is>
      </x:c>
      <x:c r="G86" s="30" t="inlineStr">
        <x:is>
          <x:t xml:space="preserve">Difficulté</x:t>
        </x:is>
      </x:c>
      <x:c r="H86" s="45" t="n">
        <x:v>2</x:v>
      </x:c>
      <x:c r="I86" s="30" t="inlineStr">
        <x:is>
          <x:t xml:space="preserve">Modérée</x:t>
        </x:is>
      </x:c>
      <x:c r="J86" s="30" t="inlineStr">
        <x:is>
          <x:t xml:space="preserve">L’arrêt de l’activité serait principalement ressenti par les clients réguliers.</x:t>
        </x:is>
      </x:c>
      <x:c r="K86" s="30" t="inlineStr">
        <x:is>
          <x:t xml:space="preserve">L’empreinte existe auprès de la clientèle actuelle, mais reste peu visible dans l’écosystème.</x:t>
        </x:is>
      </x:c>
      <x:c r="L86" s="30" t="inlineStr">
        <x:is>
          <x:t xml:space="preserve">Le développement dépend encore fortement de la base de clients existante.</x:t>
        </x:is>
      </x:c>
      <x:c r="M86" s="30" t="inlineStr">
        <x:is>
          <x:t xml:space="preserve">Qui, en dehors de vos clients réguliers, défendrait spontanément votre importance ?</x:t>
        </x:is>
      </x:c>
      <x:c r="N86" s="30" t="inlineStr">
        <x:is>
          <x:t xml:space="preserve">Mesurer l’empreinte élargie.</x:t>
        </x:is>
      </x:c>
    </x:row>
    <x:row r="87" ht="41.25" customHeight="1">
      <x:c r="A87" s="30" t="inlineStr">
        <x:is>
          <x:t xml:space="preserve">R7C</x:t>
        </x:is>
      </x:c>
      <x:c r="B87" s="30" t="inlineStr">
        <x:is>
          <x:t xml:space="preserve">Rayonnement</x:t>
        </x:is>
      </x:c>
      <x:c r="C87" s="30" t="n">
        <x:v>7</x:v>
      </x:c>
      <x:c r="D87" s="30" t="inlineStr">
        <x:is>
          <x:t xml:space="preserve">Si votre entreprise arrêtait ses activités demain, qui le remarquerait rapidement ?</x:t>
        </x:is>
      </x:c>
      <x:c r="E87" s="30" t="inlineStr">
        <x:is>
          <x:t xml:space="preserve">Certains partenaires ou professionnels de mon secteur le remarqueraient.</x:t>
        </x:is>
      </x:c>
      <x:c r="F87" s="30" t="inlineStr">
        <x:is>
          <x:t xml:space="preserve">Empreinte marché</x:t>
        </x:is>
      </x:c>
      <x:c r="G87" s="30" t="inlineStr">
        <x:is>
          <x:t xml:space="preserve">Point de vigilance</x:t>
        </x:is>
      </x:c>
      <x:c r="H87" s="45" t="n">
        <x:v>1</x:v>
      </x:c>
      <x:c r="I87" s="30" t="inlineStr">
        <x:is>
          <x:t xml:space="preserve">Légère</x:t>
        </x:is>
      </x:c>
      <x:c r="J87" s="30" t="inlineStr">
        <x:is>
          <x:t xml:space="preserve">Certains partenaires ou professionnels remarqueraient l’arrêt de l’activité.</x:t>
        </x:is>
      </x:c>
      <x:c r="K87" s="30" t="inlineStr">
        <x:is>
          <x:t xml:space="preserve">L’entreprise compte dans son réseau, mais son absence ne serait pas encore largement ressentie par le marché.</x:t>
        </x:is>
      </x:c>
      <x:c r="L87" s="30" t="inlineStr">
        <x:is>
          <x:t xml:space="preserve">L’autorité professionnelle peut être plus avancée que la préférence du marché.</x:t>
        </x:is>
      </x:c>
      <x:c r="M87" s="30" t="inlineStr">
        <x:is>
          <x:t xml:space="preserve">Comment cette reconnaissance professionnelle se transforme-t-elle en nouvelles opportunités ?</x:t>
        </x:is>
      </x:c>
      <x:c r="N87" s="30" t="inlineStr">
        <x:is>
          <x:t xml:space="preserve">Relier réseau et développement.</x:t>
        </x:is>
      </x:c>
    </x:row>
    <x:row r="88" ht="41.25" customHeight="1">
      <x:c r="A88" s="31" t="inlineStr">
        <x:is>
          <x:t xml:space="preserve">R7D</x:t>
        </x:is>
      </x:c>
      <x:c r="B88" s="31" t="inlineStr">
        <x:is>
          <x:t xml:space="preserve">Rayonnement</x:t>
        </x:is>
      </x:c>
      <x:c r="C88" s="31" t="n">
        <x:v>7</x:v>
      </x:c>
      <x:c r="D88" s="31" t="inlineStr">
        <x:is>
          <x:t xml:space="preserve">Si votre entreprise arrêtait ses activités demain, qui le remarquerait rapidement ?</x:t>
        </x:is>
      </x:c>
      <x:c r="E88" s="31" t="inlineStr">
        <x:is>
          <x:t xml:space="preserve">Une partie de mon marché constaterait clairement la disparition de mon offre.</x:t>
        </x:is>
      </x:c>
      <x:c r="F88" s="31" t="inlineStr">
        <x:is>
          <x:t xml:space="preserve">Empreinte marché</x:t>
        </x:is>
      </x:c>
      <x:c r="G88" s="31" t="inlineStr">
        <x:is>
          <x:t xml:space="preserve">Force</x:t>
        </x:is>
      </x:c>
      <x:c r="H88" s="46" t="n">
        <x:v>0</x:v>
      </x:c>
      <x:c r="I88" s="31" t="inlineStr">
        <x:is>
          <x:t xml:space="preserve">Aucune alerte</x:t>
        </x:is>
      </x:c>
      <x:c r="J88" s="31" t="inlineStr">
        <x:is>
          <x:t xml:space="preserve">Une partie du marché constaterait clairement la disparition de l’offre.</x:t>
        </x:is>
      </x:c>
      <x:c r="K88" s="31" t="str"/>
      <x:c r="L88" s="31" t="str"/>
      <x:c r="M88" s="31" t="inlineStr">
        <x:is>
          <x:t xml:space="preserve">Qu’est-ce qui rend aujourd’hui votre entreprise difficile à remplacer ?</x:t>
        </x:is>
      </x:c>
      <x:c r="N88" s="31" t="inlineStr">
        <x:is>
          <x:t xml:space="preserve">Identifier les actifs différenciants.</x:t>
        </x:is>
      </x:c>
    </x:row>
  </x:sheetData>
  <x:mergeCells>
    <x:mergeCell ref="A2:N3"/>
    <x:mergeCell ref="A1:N1"/>
  </x:mergeCells>
  <x:conditionalFormatting sqref="H5:H88">
    <x:cfRule type="cellIs" dxfId="0" priority="1" operator="equal">
      <x:formula>3</x:formula>
    </x:cfRule>
    <x:cfRule type="cellIs" dxfId="1" priority="2" operator="equal">
      <x:formula>2</x:formula>
    </x:cfRule>
    <x:cfRule type="cellIs" dxfId="2" priority="3" operator="equal">
      <x:formula>1</x:formula>
    </x:cfRule>
    <x:cfRule type="cellIs" dxfId="3" priority="4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fc9298cfe048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.440000057220459" customWidth="1"/>
    <x:col min="2" max="2" width="20.559999465942383" customWidth="1"/>
    <x:col min="3" max="3" width="7.78000020980835" customWidth="1"/>
    <x:col min="4" max="4" width="27.219999313354492" customWidth="1"/>
    <x:col min="5" max="5" width="33.88999938964844" customWidth="1"/>
    <x:col min="6" max="6" width="33.88999938964844" customWidth="1"/>
    <x:col min="7" max="7" width="33.88999938964844" customWidth="1"/>
  </x:cols>
  <x:sheetData>
    <x:row r="1" ht="31.5" customHeight="1">
      <x:c r="A1" s="3" t="inlineStr">
        <x:is>
          <x:t xml:space="preserve">Règles combinées — hypothèses à confirmer en entretien</x:t>
        </x:is>
      </x:c>
    </x:row>
    <x:row r="2">
      <x:c r="A2" s="7" t="inlineStr">
        <x:is>
          <x:t xml:space="preserve">Ces règles croisent plusieurs réponses pour suggérer un angle d’investigation. Elles ne constituent ni un diagnostic confirmé ni une recommandation de produit.</x:t>
        </x:is>
      </x:c>
    </x:row>
    <x:row r="3"/>
    <x:row r="4" ht="51" customHeight="1">
      <x:c r="A4" s="19" t="inlineStr">
        <x:is>
          <x:t xml:space="preserve">ID</x:t>
        </x:is>
      </x:c>
      <x:c r="B4" s="20" t="inlineStr">
        <x:is>
          <x:t xml:space="preserve">Thème</x:t>
        </x:is>
      </x:c>
      <x:c r="C4" s="20" t="inlineStr">
        <x:is>
          <x:t xml:space="preserve">Gravité</x:t>
        </x:is>
      </x:c>
      <x:c r="D4" s="20" t="inlineStr">
        <x:is>
          <x:t xml:space="preserve">Condition de détection</x:t>
        </x:is>
      </x:c>
      <x:c r="E4" s="20" t="inlineStr">
        <x:is>
          <x:t xml:space="preserve">Signaux croisés</x:t>
        </x:is>
      </x:c>
      <x:c r="F4" s="20" t="inlineStr">
        <x:is>
          <x:t xml:space="preserve">Hypothèse à approfondir</x:t>
        </x:is>
      </x:c>
      <x:c r="G4" s="21" t="inlineStr">
        <x:is>
          <x:t xml:space="preserve">Question de relance</x:t>
        </x:is>
      </x:c>
    </x:row>
    <x:row r="5" ht="51" customHeight="1">
      <x:c r="A5" s="29" t="inlineStr">
        <x:is>
          <x:t xml:space="preserve">RC01</x:t>
        </x:is>
      </x:c>
      <x:c r="B5" s="29" t="inlineStr">
        <x:is>
          <x:t xml:space="preserve">Parcours social fragmenté</x:t>
        </x:is>
      </x:c>
      <x:c r="C5" s="44" t="n">
        <x:v>2</x:v>
      </x:c>
      <x:c r="D5" s="29" t="inlineStr">
        <x:is>
          <x:t xml:space="preserve">Q11C + R6A, R6B ou R6C</x:t>
        </x:is>
      </x:c>
      <x:c r="E5" s="29" t="inlineStr">
        <x:is>
          <x:t xml:space="preserve">Les ventes passent par les réseaux sociaux, mais le passage des interactions ou demandes numériques à des ventes mesurées reste à clarifier.</x:t>
        </x:is>
      </x:c>
      <x:c r="F5" s="29" t="inlineStr">
        <x:is>
          <x:t xml:space="preserve">Le parcours entre découverte, conversation, commande et paiement pourrait être fragmenté.</x:t>
        </x:is>
      </x:c>
      <x:c r="G5" s="29" t="inlineStr">
        <x:is>
          <x:t xml:space="preserve">Après une demande reçue sur les réseaux sociaux, quelles étapes le client suit-il jusqu’au paiement ?</x:t>
        </x:is>
      </x:c>
    </x:row>
    <x:row r="6" ht="51" customHeight="1">
      <x:c r="A6" s="30" t="inlineStr">
        <x:is>
          <x:t xml:space="preserve">RC02</x:t>
        </x:is>
      </x:c>
      <x:c r="B6" s="30" t="inlineStr">
        <x:is>
          <x:t xml:space="preserve">Site vitrine déconnecté</x:t>
        </x:is>
      </x:c>
      <x:c r="C6" s="45" t="n">
        <x:v>2</x:v>
      </x:c>
      <x:c r="D6" s="30" t="inlineStr">
        <x:is>
          <x:t xml:space="preserve">Q11B + R6A ou R6B</x:t>
        </x:is>
      </x:c>
      <x:c r="E6" s="30" t="inlineStr">
        <x:is>
          <x:t xml:space="preserve">Le site présente l’offre, mais la commande se finalise ailleurs et le digital produit peu d’opportunités.</x:t>
        </x:is>
      </x:c>
      <x:c r="F6" s="30" t="inlineStr">
        <x:is>
          <x:t xml:space="preserve">Le passage du site vers la commande ou le paiement pourrait provoquer des abandons.</x:t>
        </x:is>
      </x:c>
      <x:c r="G6" s="30" t="inlineStr">
        <x:is>
          <x:t xml:space="preserve">Que doit faire un visiteur intéressé après avoir consulté une offre sur votre site ?</x:t>
        </x:is>
      </x:c>
    </x:row>
    <x:row r="7" ht="51" customHeight="1">
      <x:c r="A7" s="30" t="inlineStr">
        <x:is>
          <x:t xml:space="preserve">RC03</x:t>
        </x:is>
      </x:c>
      <x:c r="B7" s="30" t="inlineStr">
        <x:is>
          <x:t xml:space="preserve">Site transactionnel peu performant</x:t>
        </x:is>
      </x:c>
      <x:c r="C7" s="45" t="n">
        <x:v>2</x:v>
      </x:c>
      <x:c r="D7" s="30" t="inlineStr">
        <x:is>
          <x:t xml:space="preserve">Q11A + R6A ou R6B</x:t>
        </x:is>
      </x:c>
      <x:c r="E7" s="30" t="inlineStr">
        <x:is>
          <x:t xml:space="preserve">Le site permet de commander et payer, mais les effets numériques restent faibles ou non mesurés.</x:t>
        </x:is>
      </x:c>
      <x:c r="F7" s="30" t="inlineStr">
        <x:is>
          <x:t xml:space="preserve">La difficulté pourrait se situer dans l’acquisition, la conversion ou la mesure du parcours.</x:t>
        </x:is>
      </x:c>
      <x:c r="G7" s="30" t="inlineStr">
        <x:is>
          <x:t xml:space="preserve">À quelle étape du site perdez-vous le plus de visiteurs ou de commandes ?</x:t>
        </x:is>
      </x:c>
    </x:row>
    <x:row r="8" ht="51" customHeight="1">
      <x:c r="A8" s="30" t="inlineStr">
        <x:is>
          <x:t xml:space="preserve">RC04</x:t>
        </x:is>
      </x:c>
      <x:c r="B8" s="30" t="inlineStr">
        <x:is>
          <x:t xml:space="preserve">Encaissement à distance incomplet</x:t>
        </x:is>
      </x:c>
      <x:c r="C8" s="45" t="n">
        <x:v>3</x:v>
      </x:c>
      <x:c r="D8" s="30" t="inlineStr">
        <x:is>
          <x:t xml:space="preserve">Q10C ou Q10D + Q11A, Q11B ou Q11C</x:t>
        </x:is>
      </x:c>
      <x:c r="E8" s="30" t="inlineStr">
        <x:is>
          <x:t xml:space="preserve">L’activité possède un canal de vente digital, mais ne dispose pas d’un parcours organisé pour encaisser à distance.</x:t>
        </x:is>
      </x:c>
      <x:c r="F8" s="30" t="inlineStr">
        <x:is>
          <x:t xml:space="preserve">La finalisation du paiement pourrait interrompre certaines ventes digitales.</x:t>
        </x:is>
      </x:c>
      <x:c r="G8" s="30" t="inlineStr">
        <x:is>
          <x:t xml:space="preserve">Combien de demandes à distance restent sans suite au moment de payer ?</x:t>
        </x:is>
      </x:c>
    </x:row>
    <x:row r="9" ht="51" customHeight="1">
      <x:c r="A9" s="30" t="inlineStr">
        <x:is>
          <x:t xml:space="preserve">RC05</x:t>
        </x:is>
      </x:c>
      <x:c r="B9" s="30" t="inlineStr">
        <x:is>
          <x:t xml:space="preserve">Dispersion des paiements et trésorerie</x:t>
        </x:is>
      </x:c>
      <x:c r="C9" s="45" t="n">
        <x:v>3</x:v>
      </x:c>
      <x:c r="D9" s="30" t="inlineStr">
        <x:is>
          <x:t xml:space="preserve">Q6B, Q6C ou Q6D + Q7C ou Q7D</x:t>
        </x:is>
      </x:c>
      <x:c r="E9" s="30" t="inlineStr">
        <x:is>
          <x:t xml:space="preserve">Les paiements sont dispersés et la trésorerie est évaluée à partir des soldes ou au moment des dépenses.</x:t>
        </x:is>
      </x:c>
      <x:c r="F9" s="30" t="inlineStr">
        <x:is>
          <x:t xml:space="preserve">La fragmentation des encaissements pourrait empêcher une lecture fiable de la trésorerie.</x:t>
        </x:is>
      </x:c>
      <x:c r="G9" s="30" t="inlineStr">
        <x:is>
          <x:t xml:space="preserve">Comment obtenez-vous un montant unique et fiable avant de décider d’une dépense ?</x:t>
        </x:is>
      </x:c>
    </x:row>
    <x:row r="10" ht="51" customHeight="1">
      <x:c r="A10" s="30" t="inlineStr">
        <x:is>
          <x:t xml:space="preserve">RC06</x:t>
        </x:is>
      </x:c>
      <x:c r="B10" s="30" t="inlineStr">
        <x:is>
          <x:t xml:space="preserve">Écarts impossibles à expliquer rapidement</x:t>
        </x:is>
      </x:c>
      <x:c r="C10" s="45" t="n">
        <x:v>3</x:v>
      </x:c>
      <x:c r="D10" s="30" t="inlineStr">
        <x:is>
          <x:t xml:space="preserve">Q4C ou Q4D + Q5C ou Q5D</x:t>
        </x:is>
      </x:c>
      <x:c r="E10" s="30" t="inlineStr">
        <x:is>
          <x:t xml:space="preserve">Le suivi des ventes est reconstitué ou informel et les écarts dépendent d’explications ou restent sans preuve.</x:t>
        </x:is>
      </x:c>
      <x:c r="F10" s="30" t="inlineStr">
        <x:is>
          <x:t xml:space="preserve">L’entreprise pourrait manquer des éléments nécessaires pour distinguer erreur, oubli et vente non déclarée.</x:t>
        </x:is>
      </x:c>
      <x:c r="G10" s="30" t="inlineStr">
        <x:is>
          <x:t xml:space="preserve">Pouvez-vous retracer une vente précise depuis la commande jusqu’au paiement reçu ?</x:t>
        </x:is>
      </x:c>
    </x:row>
    <x:row r="11" ht="51" customHeight="1">
      <x:c r="A11" s="30" t="inlineStr">
        <x:is>
          <x:t xml:space="preserve">RC07</x:t>
        </x:is>
      </x:c>
      <x:c r="B11" s="30" t="inlineStr">
        <x:is>
          <x:t xml:space="preserve">Délégation insuffisamment traçable</x:t>
        </x:is>
      </x:c>
      <x:c r="C11" s="45" t="n">
        <x:v>3</x:v>
      </x:c>
      <x:c r="D11" s="30" t="inlineStr">
        <x:is>
          <x:t xml:space="preserve">Q9B ou Q9C + Q5C ou Q5D</x:t>
        </x:is>
      </x:c>
      <x:c r="E11" s="30" t="inlineStr">
        <x:is>
          <x:t xml:space="preserve">Des collaborateurs encaissent, mais le contrôle repose sur un support partagé, un point oral ou un montant global.</x:t>
        </x:is>
      </x:c>
      <x:c r="F11" s="30" t="inlineStr">
        <x:is>
          <x:t xml:space="preserve">Les responsabilités individuelles pourraient être difficiles à établir en cas d’écart.</x:t>
        </x:is>
      </x:c>
      <x:c r="G11" s="30" t="inlineStr">
        <x:is>
          <x:t xml:space="preserve">Comment attribuez-vous précisément un écart à une vente et à la personne concernée ?</x:t>
        </x:is>
      </x:c>
    </x:row>
    <x:row r="12" ht="51" customHeight="1">
      <x:c r="A12" s="30" t="inlineStr">
        <x:is>
          <x:t xml:space="preserve">RC08</x:t>
        </x:is>
      </x:c>
      <x:c r="B12" s="30" t="inlineStr">
        <x:is>
          <x:t xml:space="preserve">Comptabilité dépendante des reconstitutions</x:t>
        </x:is>
      </x:c>
      <x:c r="C12" s="45" t="n">
        <x:v>3</x:v>
      </x:c>
      <x:c r="D12" s="30" t="inlineStr">
        <x:is>
          <x:t xml:space="preserve">Q8C ou Q8D + Q4C ou Q4D</x:t>
        </x:is>
      </x:c>
      <x:c r="E12" s="30" t="inlineStr">
        <x:is>
          <x:t xml:space="preserve">Les ventes et opérations doivent être rassemblées ou reconstituées avant la comptabilité.</x:t>
        </x:is>
      </x:c>
      <x:c r="F12" s="30" t="inlineStr">
        <x:is>
          <x:t xml:space="preserve">La préparation comptable pourrait consommer beaucoup de temps et laisser des opérations mal documentées.</x:t>
        </x:is>
      </x:c>
      <x:c r="G12" s="30" t="inlineStr">
        <x:is>
          <x:t xml:space="preserve">Quelles informations vous manquent le plus souvent au moment de préparer la comptabilité ?</x:t>
        </x:is>
      </x:c>
    </x:row>
    <x:row r="13" ht="51" customHeight="1">
      <x:c r="A13" s="30" t="inlineStr">
        <x:is>
          <x:t xml:space="preserve">RC09</x:t>
        </x:is>
      </x:c>
      <x:c r="B13" s="30" t="inlineStr">
        <x:is>
          <x:t xml:space="preserve">Présence irrégulière sans conversion</x:t>
        </x:is>
      </x:c>
      <x:c r="C13" s="45" t="n">
        <x:v>2</x:v>
      </x:c>
      <x:c r="D13" s="30" t="inlineStr">
        <x:is>
          <x:t xml:space="preserve">R5A ou R5B + R6A ou R6B</x:t>
        </x:is>
      </x:c>
      <x:c r="E13" s="30" t="inlineStr">
        <x:is>
          <x:t xml:space="preserve">La présence numérique est faible ou irrégulière et produit peu de résultats commerciaux identifiables.</x:t>
        </x:is>
      </x:c>
      <x:c r="F13" s="30" t="inlineStr">
        <x:is>
          <x:t xml:space="preserve">Le problème pourrait combiner manque de régularité, absence de parcours et faible mesure.</x:t>
        </x:is>
      </x:c>
      <x:c r="G13" s="30" t="inlineStr">
        <x:is>
          <x:t xml:space="preserve">Quel résultat précis attendez-vous de votre présence numérique aujourd’hui ?</x:t>
        </x:is>
      </x:c>
    </x:row>
    <x:row r="14" ht="51" customHeight="1">
      <x:c r="A14" s="30" t="inlineStr">
        <x:is>
          <x:t xml:space="preserve">RC10</x:t>
        </x:is>
      </x:c>
      <x:c r="B14" s="30" t="inlineStr">
        <x:is>
          <x:t xml:space="preserve">Faible notoriété et faible présence</x:t>
        </x:is>
      </x:c>
      <x:c r="C14" s="45" t="n">
        <x:v>2</x:v>
      </x:c>
      <x:c r="D14" s="30" t="inlineStr">
        <x:is>
          <x:t xml:space="preserve">R1A ou R1B + R5A ou R5B</x:t>
        </x:is>
      </x:c>
      <x:c r="E14" s="30" t="inlineStr">
        <x:is>
          <x:t xml:space="preserve">La notoriété reste limitée et la présence numérique est faible ou irrégulière.</x:t>
        </x:is>
      </x:c>
      <x:c r="F14" s="30" t="inlineStr">
        <x:is>
          <x:t xml:space="preserve">La faible exposition de l’entreprise pourrait contribuer directement à son rayonnement limité.</x:t>
        </x:is>
      </x:c>
      <x:c r="G14" s="30" t="inlineStr">
        <x:is>
          <x:t xml:space="preserve">Comment de nouveaux prospects qui ne vous connaissent pas découvrent-ils actuellement l’entreprise ?</x:t>
        </x:is>
      </x:c>
    </x:row>
    <x:row r="15" ht="51" customHeight="1">
      <x:c r="A15" s="30" t="inlineStr">
        <x:is>
          <x:t xml:space="preserve">RC11</x:t>
        </x:is>
      </x:c>
      <x:c r="B15" s="30" t="inlineStr">
        <x:is>
          <x:t xml:space="preserve">Lecture du marché et différence peu claires</x:t>
        </x:is>
      </x:c>
      <x:c r="C15" s="45" t="n">
        <x:v>3</x:v>
      </x:c>
      <x:c r="D15" s="30" t="inlineStr">
        <x:is>
          <x:t xml:space="preserve">R2A ou R2B + R4A ou R4B</x:t>
        </x:is>
      </x:c>
      <x:c r="E15" s="30" t="inlineStr">
        <x:is>
          <x:t xml:space="preserve">L’entreprise comprend peu les choix en faveur des concurrents et sa différence reste difficile à percevoir sans explication.</x:t>
        </x:is>
      </x:c>
      <x:c r="F15" s="30" t="inlineStr">
        <x:is>
          <x:t xml:space="preserve">La proposition de valeur pourrait être construite sans suffisamment de retours du marché.</x:t>
        </x:is>
      </x:c>
      <x:c r="G15" s="30" t="inlineStr">
        <x:is>
          <x:t xml:space="preserve">Quelles raisons vos prospects donnent-ils lorsqu’ils choisissent une autre offre ?</x:t>
        </x:is>
      </x:c>
    </x:row>
    <x:row r="16" ht="51" customHeight="1">
      <x:c r="A16" s="30" t="inlineStr">
        <x:is>
          <x:t xml:space="preserve">RC12</x:t>
        </x:is>
      </x:c>
      <x:c r="B16" s="30" t="inlineStr">
        <x:is>
          <x:t xml:space="preserve">Différence peu convertie</x:t>
        </x:is>
      </x:c>
      <x:c r="C16" s="45" t="n">
        <x:v>2</x:v>
      </x:c>
      <x:c r="D16" s="30" t="inlineStr">
        <x:is>
          <x:t xml:space="preserve">R4C ou R4D + R6A, R6B ou R6C</x:t>
        </x:is>
      </x:c>
      <x:c r="E16" s="30" t="inlineStr">
        <x:is>
          <x:t xml:space="preserve">La différence est visible ou reconnue, mais sa transformation en ventes numériques mesurées n’est pas établie.</x:t>
        </x:is>
      </x:c>
      <x:c r="F16" s="30" t="inlineStr">
        <x:is>
          <x:t xml:space="preserve">La difficulté pourrait se situer dans la transformation de la différence en action commerciale.</x:t>
        </x:is>
      </x:c>
      <x:c r="G16" s="30" t="inlineStr">
        <x:is>
          <x:t xml:space="preserve">Quel appel à l’action permet aujourd’hui à un prospect convaincu de passer à l’étape suivante ?</x:t>
        </x:is>
      </x:c>
    </x:row>
    <x:row r="17" ht="51" customHeight="1">
      <x:c r="A17" s="30" t="inlineStr">
        <x:is>
          <x:t xml:space="preserve">RC13</x:t>
        </x:is>
      </x:c>
      <x:c r="B17" s="30" t="inlineStr">
        <x:is>
          <x:t xml:space="preserve">Besoin de visibilité de trésorerie confirmé</x:t>
        </x:is>
      </x:c>
      <x:c r="C17" s="45" t="n">
        <x:v>3</x:v>
      </x:c>
      <x:c r="D17" s="30" t="inlineStr">
        <x:is>
          <x:t xml:space="preserve">Q7C ou Q7D + Q14A</x:t>
        </x:is>
      </x:c>
      <x:c r="E17" s="30" t="inlineStr">
        <x:is>
          <x:t xml:space="preserve">Le manque de visibilité sur la trésorerie apparaît dans la pratique et dans le progrès prioritaire déclaré.</x:t>
        </x:is>
      </x:c>
      <x:c r="F17" s="30" t="inlineStr">
        <x:is>
          <x:t xml:space="preserve">Le besoin est cohérent et mérite d’être quantifié pendant l’échange.</x:t>
        </x:is>
      </x:c>
      <x:c r="G17" s="30" t="inlineStr">
        <x:is>
          <x:t xml:space="preserve">Quelles décisions sont aujourd’hui retardées par ce manque de visibilité ?</x:t>
        </x:is>
      </x:c>
    </x:row>
    <x:row r="18" ht="51" customHeight="1">
      <x:c r="A18" s="30" t="inlineStr">
        <x:is>
          <x:t xml:space="preserve">RC14</x:t>
        </x:is>
      </x:c>
      <x:c r="B18" s="30" t="inlineStr">
        <x:is>
          <x:t xml:space="preserve">Besoin de traçabilité confirmé</x:t>
        </x:is>
      </x:c>
      <x:c r="C18" s="45" t="n">
        <x:v>3</x:v>
      </x:c>
      <x:c r="D18" s="30" t="inlineStr">
        <x:is>
          <x:t xml:space="preserve">Q5C ou Q5D ou Q12C ou Q12D + Q14B</x:t>
        </x:is>
      </x:c>
      <x:c r="E18" s="30" t="inlineStr">
        <x:is>
          <x:t xml:space="preserve">La difficulté à expliquer ou retrouver les mouvements est cohérente avec le besoin prioritaire déclaré.</x:t>
        </x:is>
      </x:c>
      <x:c r="F18" s="30" t="inlineStr">
        <x:is>
          <x:t xml:space="preserve">La traçabilité constitue probablement un enjeu central du prospect.</x:t>
        </x:is>
      </x:c>
      <x:c r="G18" s="30" t="inlineStr">
        <x:is>
          <x:t xml:space="preserve">Quels mouvements de fonds vous préoccupent le plus aujourd’hui ?</x:t>
        </x:is>
      </x:c>
    </x:row>
    <x:row r="19" ht="51" customHeight="1">
      <x:c r="A19" s="30" t="inlineStr">
        <x:is>
          <x:t xml:space="preserve">RC15</x:t>
        </x:is>
      </x:c>
      <x:c r="B19" s="30" t="inlineStr">
        <x:is>
          <x:t xml:space="preserve">Besoin d’encaissement omnicanal confirmé</x:t>
        </x:is>
      </x:c>
      <x:c r="C19" s="45" t="n">
        <x:v>2</x:v>
      </x:c>
      <x:c r="D19" s="30" t="inlineStr">
        <x:is>
          <x:t xml:space="preserve">Q10C ou Q10D ou Q6B, Q6C ou Q6D + Q14C</x:t>
        </x:is>
      </x:c>
      <x:c r="E19" s="30" t="inlineStr">
        <x:is>
          <x:t xml:space="preserve">Les limites actuelles d’encaissement concordent avec la volonté d’encaisser sur tous les canaux.</x:t>
        </x:is>
      </x:c>
      <x:c r="F19" s="30" t="inlineStr">
        <x:is>
          <x:t xml:space="preserve">Le besoin d’élargir ou unifier les parcours d’encaissement paraît cohérent.</x:t>
        </x:is>
      </x:c>
      <x:c r="G19" s="30" t="inlineStr">
        <x:is>
          <x:t xml:space="preserve">Sur quel canal perdez-vous actuellement le plus de ventes au moment du paiement ?</x:t>
        </x:is>
      </x:c>
    </x:row>
    <x:row r="20" ht="51" customHeight="1">
      <x:c r="A20" s="31" t="inlineStr">
        <x:is>
          <x:t xml:space="preserve">RC16</x:t>
        </x:is>
      </x:c>
      <x:c r="B20" s="31" t="inlineStr">
        <x:is>
          <x:t xml:space="preserve">Besoin de contrôle dans la délégation confirmé</x:t>
        </x:is>
      </x:c>
      <x:c r="C20" s="46" t="n">
        <x:v>3</x:v>
      </x:c>
      <x:c r="D20" s="31" t="inlineStr">
        <x:is>
          <x:t xml:space="preserve">Q9B ou Q9C + Q14D</x:t>
        </x:is>
      </x:c>
      <x:c r="E20" s="31" t="inlineStr">
        <x:is>
          <x:t xml:space="preserve">La manière actuelle de suivre les collaborateurs concorde avec le besoin de déléguer sans perdre le contrôle.</x:t>
        </x:is>
      </x:c>
      <x:c r="F20" s="31" t="inlineStr">
        <x:is>
          <x:t xml:space="preserve">La sécurisation de la délégation semble être un enjeu concret.</x:t>
        </x:is>
      </x:c>
      <x:c r="G20" s="31" t="inlineStr">
        <x:is>
          <x:t xml:space="preserve">Quel contrôle aimeriez-vous conserver lorsque d’autres personnes encaissent ?</x:t>
        </x:is>
      </x:c>
    </x:row>
  </x:sheetData>
  <x:mergeCells>
    <x:mergeCell ref="A1:G1"/>
    <x:mergeCell ref="A2:G3"/>
  </x:mergeCells>
  <x:conditionalFormatting sqref="C5:C20">
    <x:cfRule type="cellIs" dxfId="0" priority="1" operator="equal">
      <x:formula>3</x:formula>
    </x:cfRule>
    <x:cfRule type="cellIs" dxfId="1" priority="2" operator="equal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0f33239e114c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15" customWidth="1"/>
    <x:col min="3" max="3" width="11.670000076293945" customWidth="1"/>
    <x:col min="4" max="4" width="11.670000076293945" customWidth="1"/>
    <x:col min="5" max="5" width="11.670000076293945" customWidth="1"/>
    <x:col min="6" max="6" width="8.670000076293945" customWidth="1"/>
    <x:col min="7" max="7" width="8.670000076293945" customWidth="1"/>
    <x:col min="8" max="8" width="8.670000076293945" customWidth="1"/>
    <x:col min="9" max="9" width="27.219999313354492" customWidth="1"/>
    <x:col min="10" max="10" width="27.219999313354492" customWidth="1"/>
    <x:col min="11" max="11" width="27.219999313354492" customWidth="1"/>
  </x:cols>
  <x:sheetData>
    <x:row r="1" ht="31.5" customHeight="1">
      <x:c r="A1" s="3" t="inlineStr">
        <x:is>
          <x:t xml:space="preserve">Archétypes, dimensions et règles de résultat</x:t>
        </x:is>
      </x:c>
    </x:row>
    <x:row r="3">
      <x:c r="A3" s="10" t="inlineStr">
        <x:is>
          <x:t xml:space="preserve">Empreintes des 8 archétypes</x:t>
        </x:is>
      </x:c>
    </x:row>
    <x:row r="4" ht="31.5" customHeight="1">
      <x:c r="A4" s="19" t="inlineStr">
        <x:is>
          <x:t xml:space="preserve">Archétype</x:t>
        </x:is>
      </x:c>
      <x:c r="B4" s="20" t="inlineStr">
        <x:is>
          <x:t xml:space="preserve">Inspiré par</x:t>
        </x:is>
      </x:c>
      <x:c r="C4" s="20" t="inlineStr">
        <x:is>
          <x:t xml:space="preserve">Centrale</x:t>
        </x:is>
      </x:c>
      <x:c r="D4" s="20" t="inlineStr">
        <x:is>
          <x:t xml:space="preserve">2e dimension</x:t>
        </x:is>
      </x:c>
      <x:c r="E4" s="20" t="inlineStr">
        <x:is>
          <x:t xml:space="preserve">3e dimension</x:t>
        </x:is>
      </x:c>
      <x:c r="F4" s="20" t="inlineStr">
        <x:is>
          <x:t xml:space="preserve">Poids 1</x:t>
        </x:is>
      </x:c>
      <x:c r="G4" s="20" t="inlineStr">
        <x:is>
          <x:t xml:space="preserve">Poids 2</x:t>
        </x:is>
      </x:c>
      <x:c r="H4" s="20" t="inlineStr">
        <x:is>
          <x:t xml:space="preserve">Poids 3</x:t>
        </x:is>
      </x:c>
      <x:c r="I4" s="20" t="inlineStr">
        <x:is>
          <x:t xml:space="preserve">Traits dominants</x:t>
        </x:is>
      </x:c>
      <x:c r="J4" s="20" t="inlineStr">
        <x:is>
          <x:t xml:space="preserve">Forces</x:t>
        </x:is>
      </x:c>
      <x:c r="K4" s="21" t="inlineStr">
        <x:is>
          <x:t xml:space="preserve">Risque</x:t>
        </x:is>
      </x:c>
    </x:row>
    <x:row r="5" ht="31.5" customHeight="1">
      <x:c r="A5" s="29" t="inlineStr">
        <x:is>
          <x:t xml:space="preserve">Stratège</x:t>
        </x:is>
      </x:c>
      <x:c r="B5" s="29" t="inlineStr">
        <x:is>
          <x:t xml:space="preserve">Samory Touré</x:t>
        </x:is>
      </x:c>
      <x:c r="C5" s="29" t="inlineStr">
        <x:is>
          <x:t xml:space="preserve">STR</x:t>
        </x:is>
      </x:c>
      <x:c r="D5" s="29" t="inlineStr">
        <x:is>
          <x:t xml:space="preserve">ADA</x:t>
        </x:is>
      </x:c>
      <x:c r="E5" s="29" t="inlineStr">
        <x:is>
          <x:t xml:space="preserve">ORG</x:t>
        </x:is>
      </x:c>
      <x:c r="F5" s="131" t="n">
        <x:v>0.5</x:v>
      </x:c>
      <x:c r="G5" s="131" t="n">
        <x:v>0.3</x:v>
      </x:c>
      <x:c r="H5" s="131" t="n">
        <x:v>0.2</x:v>
      </x:c>
      <x:c r="I5" s="29" t="inlineStr">
        <x:is>
          <x:t xml:space="preserve">Analytique, patient, observateur et anticipateur</x:t>
        </x:is>
      </x:c>
      <x:c r="J5" s="29" t="inlineStr">
        <x:is>
          <x:t xml:space="preserve">Anticipation, lecture stratégique, allocation des ressources</x:t>
        </x:is>
      </x:c>
      <x:c r="K5" s="29" t="inlineStr">
        <x:is>
          <x:t xml:space="preserve">Suranalyse et lenteur dans la décision</x:t>
        </x:is>
      </x:c>
    </x:row>
    <x:row r="6" ht="31.5" customHeight="1">
      <x:c r="A6" s="30" t="inlineStr">
        <x:is>
          <x:t xml:space="preserve">Visionnaire</x:t>
        </x:is>
      </x:c>
      <x:c r="B6" s="30" t="inlineStr">
        <x:is>
          <x:t xml:space="preserve">Kwame Nkrumah</x:t>
        </x:is>
      </x:c>
      <x:c r="C6" s="30" t="inlineStr">
        <x:is>
          <x:t xml:space="preserve">VIS</x:t>
        </x:is>
      </x:c>
      <x:c r="D6" s="30" t="inlineStr">
        <x:is>
          <x:t xml:space="preserve">INF</x:t>
        </x:is>
      </x:c>
      <x:c r="E6" s="30" t="inlineStr">
        <x:is>
          <x:t xml:space="preserve">TRA</x:t>
        </x:is>
      </x:c>
      <x:c r="F6" s="132" t="n">
        <x:v>0.5</x:v>
      </x:c>
      <x:c r="G6" s="132" t="n">
        <x:v>0.3</x:v>
      </x:c>
      <x:c r="H6" s="132" t="n">
        <x:v>0.2</x:v>
      </x:c>
      <x:c r="I6" s="30" t="inlineStr">
        <x:is>
          <x:t xml:space="preserve">Ambitieux, intuitif, tourné vers l’avenir et inspirant</x:t>
        </x:is>
      </x:c>
      <x:c r="J6" s="30" t="inlineStr">
        <x:is>
          <x:t xml:space="preserve">Projection, ambition et mobilisation autour d’une vision</x:t>
        </x:is>
      </x:c>
      <x:c r="K6" s="30" t="inlineStr">
        <x:is>
          <x:t xml:space="preserve">Sous-estimation des contraintes opérationnelles</x:t>
        </x:is>
      </x:c>
    </x:row>
    <x:row r="7" ht="31.5" customHeight="1">
      <x:c r="A7" s="30" t="inlineStr">
        <x:is>
          <x:t xml:space="preserve">Bâtisseur</x:t>
        </x:is>
      </x:c>
      <x:c r="B7" s="30" t="inlineStr">
        <x:is>
          <x:t xml:space="preserve">Aliko Dangote</x:t>
        </x:is>
      </x:c>
      <x:c r="C7" s="30" t="inlineStr">
        <x:is>
          <x:t xml:space="preserve">EXE</x:t>
        </x:is>
      </x:c>
      <x:c r="D7" s="30" t="inlineStr">
        <x:is>
          <x:t xml:space="preserve">ORG</x:t>
        </x:is>
      </x:c>
      <x:c r="E7" s="30" t="inlineStr">
        <x:is>
          <x:t xml:space="preserve">STR</x:t>
        </x:is>
      </x:c>
      <x:c r="F7" s="132" t="n">
        <x:v>0.5</x:v>
      </x:c>
      <x:c r="G7" s="132" t="n">
        <x:v>0.35</x:v>
      </x:c>
      <x:c r="H7" s="132" t="n">
        <x:v>0.15</x:v>
      </x:c>
      <x:c r="I7" s="30" t="inlineStr">
        <x:is>
          <x:t xml:space="preserve">Structuré, constant, méthodique et pragmatique</x:t>
        </x:is>
      </x:c>
      <x:c r="J7" s="30" t="inlineStr">
        <x:is>
          <x:t xml:space="preserve">Exécution, structuration et croissance progressive</x:t>
        </x:is>
      </x:c>
      <x:c r="K7" s="30" t="inlineStr">
        <x:is>
          <x:t xml:space="preserve">Stabilité privilégiée au détriment de l’agilité</x:t>
        </x:is>
      </x:c>
    </x:row>
    <x:row r="8" ht="31.5" customHeight="1">
      <x:c r="A8" s="30" t="inlineStr">
        <x:is>
          <x:t xml:space="preserve">Conquérant</x:t>
        </x:is>
      </x:c>
      <x:c r="B8" s="30" t="inlineStr">
        <x:is>
          <x:t xml:space="preserve">Shaka Zulu</x:t>
        </x:is>
      </x:c>
      <x:c r="C8" s="30" t="inlineStr">
        <x:is>
          <x:t xml:space="preserve">AUD</x:t>
        </x:is>
      </x:c>
      <x:c r="D8" s="30" t="inlineStr">
        <x:is>
          <x:t xml:space="preserve">EXE</x:t>
        </x:is>
      </x:c>
      <x:c r="E8" s="30" t="inlineStr">
        <x:is>
          <x:t xml:space="preserve">VIS</x:t>
        </x:is>
      </x:c>
      <x:c r="F8" s="132" t="n">
        <x:v>0.5</x:v>
      </x:c>
      <x:c r="G8" s="132" t="n">
        <x:v>0.35</x:v>
      </x:c>
      <x:c r="H8" s="132" t="n">
        <x:v>0.15</x:v>
      </x:c>
      <x:c r="I8" s="30" t="inlineStr">
        <x:is>
          <x:t xml:space="preserve">Audacieux, compétitif, rapide et déterminé</x:t>
        </x:is>
      </x:c>
      <x:c r="J8" s="30" t="inlineStr">
        <x:is>
          <x:t xml:space="preserve">Expansion, accélération et courage décisionnel</x:t>
        </x:is>
      </x:c>
      <x:c r="K8" s="30" t="inlineStr">
        <x:is>
          <x:t xml:space="preserve">Prise de risque excessive ou dispersion</x:t>
        </x:is>
      </x:c>
    </x:row>
    <x:row r="9" ht="31.5" customHeight="1">
      <x:c r="A9" s="30" t="inlineStr">
        <x:is>
          <x:t xml:space="preserve">Fédérateur</x:t>
        </x:is>
      </x:c>
      <x:c r="B9" s="30" t="inlineStr">
        <x:is>
          <x:t xml:space="preserve">Nelson Mandela</x:t>
        </x:is>
      </x:c>
      <x:c r="C9" s="30" t="inlineStr">
        <x:is>
          <x:t xml:space="preserve">INF</x:t>
        </x:is>
      </x:c>
      <x:c r="D9" s="30" t="inlineStr">
        <x:is>
          <x:t xml:space="preserve">ADA</x:t>
        </x:is>
      </x:c>
      <x:c r="E9" s="30" t="inlineStr">
        <x:is>
          <x:t xml:space="preserve">VIS</x:t>
        </x:is>
      </x:c>
      <x:c r="F9" s="132" t="n">
        <x:v>0.5</x:v>
      </x:c>
      <x:c r="G9" s="132" t="n">
        <x:v>0.3</x:v>
      </x:c>
      <x:c r="H9" s="132" t="n">
        <x:v>0.2</x:v>
      </x:c>
      <x:c r="I9" s="30" t="inlineStr">
        <x:is>
          <x:t xml:space="preserve">Relationnel, rassembleur, diplomate et empathique</x:t>
        </x:is>
      </x:c>
      <x:c r="J9" s="30" t="inlineStr">
        <x:is>
          <x:t xml:space="preserve">Mobilisation, adhésion, alliances et intelligence relationnelle</x:t>
        </x:is>
      </x:c>
      <x:c r="K9" s="30" t="inlineStr">
        <x:is>
          <x:t xml:space="preserve">Recherche excessive du consensus</x:t>
        </x:is>
      </x:c>
    </x:row>
    <x:row r="10" ht="31.5" customHeight="1">
      <x:c r="A10" s="30" t="inlineStr">
        <x:is>
          <x:t xml:space="preserve">Résilient</x:t>
        </x:is>
      </x:c>
      <x:c r="B10" s="30" t="inlineStr">
        <x:is>
          <x:t xml:space="preserve">Béhanzin</x:t>
        </x:is>
      </x:c>
      <x:c r="C10" s="30" t="inlineStr">
        <x:is>
          <x:t xml:space="preserve">ADA</x:t>
        </x:is>
      </x:c>
      <x:c r="D10" s="30" t="inlineStr">
        <x:is>
          <x:t xml:space="preserve">EXE</x:t>
        </x:is>
      </x:c>
      <x:c r="E10" s="30" t="inlineStr">
        <x:is>
          <x:t xml:space="preserve">AUD</x:t>
        </x:is>
      </x:c>
      <x:c r="F10" s="132" t="n">
        <x:v>0.5</x:v>
      </x:c>
      <x:c r="G10" s="132" t="n">
        <x:v>0.3</x:v>
      </x:c>
      <x:c r="H10" s="132" t="n">
        <x:v>0.2</x:v>
      </x:c>
      <x:c r="I10" s="30" t="inlineStr">
        <x:is>
          <x:t xml:space="preserve">Endurant, persévérant, adaptable et combatif</x:t>
        </x:is>
      </x:c>
      <x:c r="J10" s="30" t="inlineStr">
        <x:is>
          <x:t xml:space="preserve">Rebond, endurance, adaptation et persévérance</x:t>
        </x:is>
      </x:c>
      <x:c r="K10" s="30" t="inlineStr">
        <x:is>
          <x:t xml:space="preserve">Persistance dans une situation devenue défavorable</x:t>
        </x:is>
      </x:c>
    </x:row>
    <x:row r="11" ht="31.5" customHeight="1">
      <x:c r="A11" s="30" t="inlineStr">
        <x:is>
          <x:t xml:space="preserve">Gestionnaire</x:t>
        </x:is>
      </x:c>
      <x:c r="B11" s="30" t="inlineStr">
        <x:is>
          <x:t xml:space="preserve">Tidjane Thiam</x:t>
        </x:is>
      </x:c>
      <x:c r="C11" s="30" t="inlineStr">
        <x:is>
          <x:t xml:space="preserve">ORG</x:t>
        </x:is>
      </x:c>
      <x:c r="D11" s="30" t="inlineStr">
        <x:is>
          <x:t xml:space="preserve">STR</x:t>
        </x:is>
      </x:c>
      <x:c r="E11" s="30" t="inlineStr">
        <x:is>
          <x:t xml:space="preserve">EXE</x:t>
        </x:is>
      </x:c>
      <x:c r="F11" s="132" t="n">
        <x:v>0.45</x:v>
      </x:c>
      <x:c r="G11" s="132" t="n">
        <x:v>0.3</x:v>
      </x:c>
      <x:c r="H11" s="132" t="n">
        <x:v>0.25</x:v>
      </x:c>
      <x:c r="I11" s="30" t="inlineStr">
        <x:is>
          <x:t xml:space="preserve">Discipliné, organisé, rationnel et précis</x:t>
        </x:is>
      </x:c>
      <x:c r="J11" s="30" t="inlineStr">
        <x:is>
          <x:t xml:space="preserve">Organisation, maîtrise des ressources et pilotage</x:t>
        </x:is>
      </x:c>
      <x:c r="K11" s="30" t="inlineStr">
        <x:is>
          <x:t xml:space="preserve">Optimisation privilégiée au détriment de l’audace</x:t>
        </x:is>
      </x:c>
    </x:row>
    <x:row r="12" ht="31.5" customHeight="1">
      <x:c r="A12" s="31" t="inlineStr">
        <x:is>
          <x:t xml:space="preserve">Réformateur</x:t>
        </x:is>
      </x:c>
      <x:c r="B12" s="31" t="inlineStr">
        <x:is>
          <x:t xml:space="preserve">Thomas Sankara</x:t>
        </x:is>
      </x:c>
      <x:c r="C12" s="31" t="inlineStr">
        <x:is>
          <x:t xml:space="preserve">TRA</x:t>
        </x:is>
      </x:c>
      <x:c r="D12" s="31" t="inlineStr">
        <x:is>
          <x:t xml:space="preserve">AUD</x:t>
        </x:is>
      </x:c>
      <x:c r="E12" s="31" t="inlineStr">
        <x:is>
          <x:t xml:space="preserve">VIS</x:t>
        </x:is>
      </x:c>
      <x:c r="F12" s="133" t="n">
        <x:v>0.5</x:v>
      </x:c>
      <x:c r="G12" s="133" t="n">
        <x:v>0.3</x:v>
      </x:c>
      <x:c r="H12" s="133" t="n">
        <x:v>0.2</x:v>
      </x:c>
      <x:c r="I12" s="31" t="inlineStr">
        <x:is>
          <x:t xml:space="preserve">Critique, indépendant, innovant et orienté transformation</x:t>
        </x:is>
      </x:c>
      <x:c r="J12" s="31" t="inlineStr">
        <x:is>
          <x:t xml:space="preserve">Remise en question, transformation et évolution des systèmes</x:t>
        </x:is>
      </x:c>
      <x:c r="K12" s="31" t="inlineStr">
        <x:is>
          <x:t xml:space="preserve">Multiplication des changements ou adoption insuffisamment accompagnée</x:t>
        </x:is>
      </x:c>
    </x:row>
    <x:row r="13" ht="31.5" customHeight="1"/>
    <x:row r="14" ht="31.5" customHeight="1">
      <x:c r="A14" s="10" t="inlineStr">
        <x:is>
          <x:t xml:space="preserve">Définition des dimensions</x:t>
        </x:is>
      </x:c>
    </x:row>
    <x:row r="15" ht="31.5" customHeight="1">
      <x:c r="A15" s="19" t="inlineStr">
        <x:is>
          <x:t xml:space="preserve">Code</x:t>
        </x:is>
      </x:c>
      <x:c r="B15" s="20" t="inlineStr">
        <x:is>
          <x:t xml:space="preserve">Dimension</x:t>
        </x:is>
      </x:c>
      <x:c r="C15" s="21" t="inlineStr">
        <x:is>
          <x:t xml:space="preserve">Définition fonctionnelle</x:t>
        </x:is>
      </x:c>
      <x:c r="D15" s="137" t="n"/>
      <x:c r="E15" s="137" t="n"/>
      <x:c r="F15" s="137" t="n"/>
      <x:c r="G15" s="137" t="n"/>
      <x:c r="H15" s="137" t="n"/>
      <x:c r="I15" s="137" t="n"/>
      <x:c r="J15" s="137" t="n"/>
      <x:c r="K15" s="138" t="n"/>
    </x:row>
    <x:row r="16" ht="31.5" customHeight="1">
      <x:c r="A16" s="29" t="inlineStr">
        <x:is>
          <x:t xml:space="preserve">VIS</x:t>
        </x:is>
      </x:c>
      <x:c r="B16" s="29" t="inlineStr">
        <x:is>
          <x:t xml:space="preserve">Vision</x:t>
        </x:is>
      </x:c>
      <x:c r="C16" s="29" t="inlineStr">
        <x:is>
          <x:t xml:space="preserve">Capacité à projeter une direction future et à relier les décisions à une ambition.</x:t>
        </x:is>
      </x:c>
      <x:c r="D16" s="121" t="n"/>
      <x:c r="E16" s="121" t="n"/>
      <x:c r="F16" s="121" t="n"/>
      <x:c r="G16" s="121" t="n"/>
      <x:c r="H16" s="121" t="n"/>
      <x:c r="I16" s="121" t="n"/>
      <x:c r="J16" s="121" t="n"/>
      <x:c r="K16" s="121" t="n"/>
    </x:row>
    <x:row r="17" ht="31.5" customHeight="1">
      <x:c r="A17" s="30" t="inlineStr">
        <x:is>
          <x:t xml:space="preserve">STR</x:t>
        </x:is>
      </x:c>
      <x:c r="B17" s="30" t="inlineStr">
        <x:is>
          <x:t xml:space="preserve">Stratégie</x:t>
        </x:is>
      </x:c>
      <x:c r="C17" s="30" t="inlineStr">
        <x:is>
          <x:t xml:space="preserve">Capacité à lire le terrain, comparer des options, choisir et anticiper.</x:t>
        </x:is>
      </x:c>
      <x:c r="D17" s="122" t="n"/>
      <x:c r="E17" s="122" t="n"/>
      <x:c r="F17" s="122" t="n"/>
      <x:c r="G17" s="122" t="n"/>
      <x:c r="H17" s="122" t="n"/>
      <x:c r="I17" s="122" t="n"/>
      <x:c r="J17" s="122" t="n"/>
      <x:c r="K17" s="122" t="n"/>
    </x:row>
    <x:row r="18" ht="31.5" customHeight="1">
      <x:c r="A18" s="30" t="inlineStr">
        <x:is>
          <x:t xml:space="preserve">EXE</x:t>
        </x:is>
      </x:c>
      <x:c r="B18" s="30" t="inlineStr">
        <x:is>
          <x:t xml:space="preserve">Exécution</x:t>
        </x:is>
      </x:c>
      <x:c r="C18" s="30" t="inlineStr">
        <x:is>
          <x:t xml:space="preserve">Capacité à transformer une intention en actions et résultats.</x:t>
        </x:is>
      </x:c>
      <x:c r="D18" s="122" t="n"/>
      <x:c r="E18" s="122" t="n"/>
      <x:c r="F18" s="122" t="n"/>
      <x:c r="G18" s="122" t="n"/>
      <x:c r="H18" s="122" t="n"/>
      <x:c r="I18" s="122" t="n"/>
      <x:c r="J18" s="122" t="n"/>
      <x:c r="K18" s="122" t="n"/>
    </x:row>
    <x:row r="19" ht="31.5" customHeight="1">
      <x:c r="A19" s="30" t="inlineStr">
        <x:is>
          <x:t xml:space="preserve">ORG</x:t>
        </x:is>
      </x:c>
      <x:c r="B19" s="30" t="inlineStr">
        <x:is>
          <x:t xml:space="preserve">Organisation</x:t>
        </x:is>
      </x:c>
      <x:c r="C19" s="30" t="inlineStr">
        <x:is>
          <x:t xml:space="preserve">Capacité à structurer ressources, rôles, processus et contrôles.</x:t>
        </x:is>
      </x:c>
      <x:c r="D19" s="122" t="n"/>
      <x:c r="E19" s="122" t="n"/>
      <x:c r="F19" s="122" t="n"/>
      <x:c r="G19" s="122" t="n"/>
      <x:c r="H19" s="122" t="n"/>
      <x:c r="I19" s="122" t="n"/>
      <x:c r="J19" s="122" t="n"/>
      <x:c r="K19" s="122" t="n"/>
    </x:row>
    <x:row r="20" ht="31.5" customHeight="1">
      <x:c r="A20" s="30" t="inlineStr">
        <x:is>
          <x:t xml:space="preserve">INF</x:t>
        </x:is>
      </x:c>
      <x:c r="B20" s="30" t="inlineStr">
        <x:is>
          <x:t xml:space="preserve">Influence</x:t>
        </x:is>
      </x:c>
      <x:c r="C20" s="30" t="inlineStr">
        <x:is>
          <x:t xml:space="preserve">Capacité à mobiliser, convaincre, fédérer et construire des alliances.</x:t>
        </x:is>
      </x:c>
      <x:c r="D20" s="122" t="n"/>
      <x:c r="E20" s="122" t="n"/>
      <x:c r="F20" s="122" t="n"/>
      <x:c r="G20" s="122" t="n"/>
      <x:c r="H20" s="122" t="n"/>
      <x:c r="I20" s="122" t="n"/>
      <x:c r="J20" s="122" t="n"/>
      <x:c r="K20" s="122" t="n"/>
    </x:row>
    <x:row r="21" ht="31.5" customHeight="1">
      <x:c r="A21" s="30" t="inlineStr">
        <x:is>
          <x:t xml:space="preserve">AUD</x:t>
        </x:is>
      </x:c>
      <x:c r="B21" s="30" t="inlineStr">
        <x:is>
          <x:t xml:space="preserve">Audace</x:t>
        </x:is>
      </x:c>
      <x:c r="C21" s="30" t="inlineStr">
        <x:is>
          <x:t xml:space="preserve">Capacité à décider dans l’incertitude et à créer du mouvement.</x:t>
        </x:is>
      </x:c>
      <x:c r="D21" s="122" t="n"/>
      <x:c r="E21" s="122" t="n"/>
      <x:c r="F21" s="122" t="n"/>
      <x:c r="G21" s="122" t="n"/>
      <x:c r="H21" s="122" t="n"/>
      <x:c r="I21" s="122" t="n"/>
      <x:c r="J21" s="122" t="n"/>
      <x:c r="K21" s="122" t="n"/>
    </x:row>
    <x:row r="22" ht="31.5" customHeight="1">
      <x:c r="A22" s="30" t="inlineStr">
        <x:is>
          <x:t xml:space="preserve">ADA</x:t>
        </x:is>
      </x:c>
      <x:c r="B22" s="30" t="inlineStr">
        <x:is>
          <x:t xml:space="preserve">Adaptabilité</x:t>
        </x:is>
      </x:c>
      <x:c r="C22" s="30" t="inlineStr">
        <x:is>
          <x:t xml:space="preserve">Capacité à ajuster la trajectoire et apprendre du contexte.</x:t>
        </x:is>
      </x:c>
      <x:c r="D22" s="122" t="n"/>
      <x:c r="E22" s="122" t="n"/>
      <x:c r="F22" s="122" t="n"/>
      <x:c r="G22" s="122" t="n"/>
      <x:c r="H22" s="122" t="n"/>
      <x:c r="I22" s="122" t="n"/>
      <x:c r="J22" s="122" t="n"/>
      <x:c r="K22" s="122" t="n"/>
    </x:row>
    <x:row r="23" ht="31.5" customHeight="1">
      <x:c r="A23" s="31" t="inlineStr">
        <x:is>
          <x:t xml:space="preserve">TRA</x:t>
        </x:is>
      </x:c>
      <x:c r="B23" s="31" t="inlineStr">
        <x:is>
          <x:t xml:space="preserve">Transformation</x:t>
        </x:is>
      </x:c>
      <x:c r="C23" s="31" t="inlineStr">
        <x:is>
          <x:t xml:space="preserve">Capacité à remettre en question un système et conduire son évolution.</x:t>
        </x:is>
      </x:c>
      <x:c r="D23" s="123" t="n"/>
      <x:c r="E23" s="123" t="n"/>
      <x:c r="F23" s="123" t="n"/>
      <x:c r="G23" s="123" t="n"/>
      <x:c r="H23" s="123" t="n"/>
      <x:c r="I23" s="123" t="n"/>
      <x:c r="J23" s="123" t="n"/>
      <x:c r="K23" s="123" t="n"/>
    </x:row>
    <x:row r="24" ht="31.5" customHeight="1"/>
    <x:row r="25" ht="31.5" customHeight="1">
      <x:c r="A25" s="10" t="inlineStr">
        <x:is>
          <x:t xml:space="preserve">Règles du profil public</x:t>
        </x:is>
      </x:c>
    </x:row>
    <x:row r="26" ht="31.5" customHeight="1">
      <x:c r="A26" s="29" t="inlineStr">
        <x:is>
          <x:t xml:space="preserve">Calcul brut</x:t>
        </x:is>
      </x:c>
      <x:c r="B26" s="29" t="inlineStr">
        <x:is>
          <x:t xml:space="preserve">Chaque réponse attribue +2 à la dimension principale et +1 à la secondaire.</x:t>
        </x:is>
      </x:c>
      <x:c r="C26" s="121" t="n"/>
      <x:c r="D26" s="121" t="n"/>
      <x:c r="E26" s="121" t="n"/>
      <x:c r="F26" s="121" t="n"/>
      <x:c r="G26" s="121" t="n"/>
      <x:c r="H26" s="121" t="n"/>
      <x:c r="I26" s="121" t="n"/>
      <x:c r="J26" s="121" t="n"/>
      <x:c r="K26" s="121" t="n"/>
    </x:row>
    <x:row r="27" ht="31.5" customHeight="1">
      <x:c r="A27" s="30" t="inlineStr">
        <x:is>
          <x:t xml:space="preserve">Normalisation</x:t>
        </x:is>
      </x:c>
      <x:c r="B27" s="30" t="inlineStr">
        <x:is>
          <x:t xml:space="preserve">Score dimension = score brut / maximum réellement atteignable × 100.</x:t>
        </x:is>
      </x:c>
      <x:c r="C27" s="122" t="n"/>
      <x:c r="D27" s="122" t="n"/>
      <x:c r="E27" s="122" t="n"/>
      <x:c r="F27" s="122" t="n"/>
      <x:c r="G27" s="122" t="n"/>
      <x:c r="H27" s="122" t="n"/>
      <x:c r="I27" s="122" t="n"/>
      <x:c r="J27" s="122" t="n"/>
      <x:c r="K27" s="122" t="n"/>
    </x:row>
    <x:row r="28" ht="31.5" customHeight="1">
      <x:c r="A28" s="30" t="inlineStr">
        <x:is>
          <x:t xml:space="preserve">Affinité</x:t>
        </x:is>
      </x:c>
      <x:c r="B28" s="30" t="inlineStr">
        <x:is>
          <x:t xml:space="preserve">Somme pondérée des trois dimensions de l’empreinte de l’archétype.</x:t>
        </x:is>
      </x:c>
      <x:c r="C28" s="122" t="n"/>
      <x:c r="D28" s="122" t="n"/>
      <x:c r="E28" s="122" t="n"/>
      <x:c r="F28" s="122" t="n"/>
      <x:c r="G28" s="122" t="n"/>
      <x:c r="H28" s="122" t="n"/>
      <x:c r="I28" s="122" t="n"/>
      <x:c r="J28" s="122" t="n"/>
      <x:c r="K28" s="122" t="n"/>
    </x:row>
    <x:row r="29" ht="31.5" customHeight="1">
      <x:c r="A29" s="30" t="inlineStr">
        <x:is>
          <x:t xml:space="preserve">Profil principal</x:t>
        </x:is>
      </x:c>
      <x:c r="B29" s="30" t="inlineStr">
        <x:is>
          <x:t xml:space="preserve">Archétype ayant l’affinité la plus élevée, calculée à deux décimales.</x:t>
        </x:is>
      </x:c>
      <x:c r="C29" s="122" t="n"/>
      <x:c r="D29" s="122" t="n"/>
      <x:c r="E29" s="122" t="n"/>
      <x:c r="F29" s="122" t="n"/>
      <x:c r="G29" s="122" t="n"/>
      <x:c r="H29" s="122" t="n"/>
      <x:c r="I29" s="122" t="n"/>
      <x:c r="J29" s="122" t="n"/>
      <x:c r="K29" s="122" t="n"/>
    </x:row>
    <x:row r="30" ht="31.5" customHeight="1">
      <x:c r="A30" s="30" t="inlineStr">
        <x:is>
          <x:t xml:space="preserve">Profil secondaire</x:t>
        </x:is>
      </x:c>
      <x:c r="B30" s="30" t="inlineStr">
        <x:is>
          <x:t xml:space="preserve">Affinité ≥55, ≥90 % de la principale et écart ≤8 points.</x:t>
        </x:is>
      </x:c>
      <x:c r="C30" s="122" t="n"/>
      <x:c r="D30" s="122" t="n"/>
      <x:c r="E30" s="122" t="n"/>
      <x:c r="F30" s="122" t="n"/>
      <x:c r="G30" s="122" t="n"/>
      <x:c r="H30" s="122" t="n"/>
      <x:c r="I30" s="122" t="n"/>
      <x:c r="J30" s="122" t="n"/>
      <x:c r="K30" s="122" t="n"/>
    </x:row>
    <x:row r="31" ht="74" customHeight="1">
      <x:c r="A31" s="30" t="inlineStr">
        <x:is>
          <x:t xml:space="preserve">Égalité</x:t>
        </x:is>
      </x:c>
      <x:c r="B31" s="139" t="str">
        <x:v>Comparer uniquement les archétypes ex æquo sur l’affinité arrondie à 2 décimales. À chaque étape, ne conserver que la valeur la plus élevée : 1) score normalisé de la dimension centrale, arrondi à 2 décimales ; 2) nombre de réponses ayant attribué +2 à cette dimension centrale ; 3) somme des scores bruts des trois dimensions de l’empreinte ; 4) ordre technique versionné.</x:v>
      </x:c>
      <x:c r="C31" s="140" t="n"/>
      <x:c r="D31" s="140" t="n"/>
      <x:c r="E31" s="140" t="n"/>
      <x:c r="F31" s="140" t="n"/>
      <x:c r="G31" s="140" t="n"/>
      <x:c r="H31" s="140" t="n"/>
      <x:c r="I31" s="140" t="n"/>
      <x:c r="J31" s="140" t="n"/>
      <x:c r="K31" s="140" t="n"/>
    </x:row>
    <x:row r="32" ht="31.5" customHeight="1">
      <x:c r="A32" s="31" t="inlineStr">
        <x:is>
          <x:t xml:space="preserve">Ordre technique</x:t>
        </x:is>
      </x:c>
      <x:c r="B32" s="31" t="inlineStr">
        <x:is>
          <x:t xml:space="preserve">Stratège, Visionnaire, Bâtisseur, Conquérant, Fédérateur, Résilient, Gestionnaire, Réformateur.</x:t>
        </x:is>
      </x:c>
      <x:c r="C32" s="123" t="n"/>
      <x:c r="D32" s="123" t="n"/>
      <x:c r="E32" s="123" t="n"/>
      <x:c r="F32" s="123" t="n"/>
      <x:c r="G32" s="123" t="n"/>
      <x:c r="H32" s="123" t="n"/>
      <x:c r="I32" s="123" t="n"/>
      <x:c r="J32" s="123" t="n"/>
      <x:c r="K32" s="123" t="n"/>
    </x:row>
    <x:row r="33" ht="31.5" customHeight="1"/>
    <x:row r="34" ht="31.5" customHeight="1">
      <x:c r="A34" s="10" t="inlineStr">
        <x:is>
          <x:t xml:space="preserve">Niveaux du score interne de pilotage</x:t>
        </x:is>
      </x:c>
    </x:row>
    <x:row r="35" ht="31.5" customHeight="1">
      <x:c r="A35" s="19" t="inlineStr">
        <x:is>
          <x:t xml:space="preserve">Score</x:t>
        </x:is>
      </x:c>
      <x:c r="B35" s="20" t="inlineStr">
        <x:is>
          <x:t xml:space="preserve">Niveau interne</x:t>
        </x:is>
      </x:c>
      <x:c r="C35" s="20" t="inlineStr">
        <x:is>
          <x:t xml:space="preserve">Lecture</x:t>
        </x:is>
      </x:c>
      <x:c r="D35" s="137" t="n"/>
      <x:c r="E35" s="137" t="n"/>
      <x:c r="F35" s="137" t="n"/>
      <x:c r="G35" s="137" t="n"/>
      <x:c r="H35" s="137" t="n"/>
      <x:c r="I35" s="137" t="n"/>
      <x:c r="J35" s="137" t="n"/>
      <x:c r="K35" s="21" t="inlineStr">
        <x:is>
          <x:t xml:space="preserve">Visibilité</x:t>
        </x:is>
      </x:c>
    </x:row>
    <x:row r="36" ht="31.5" customHeight="1">
      <x:c r="A36" s="29" t="inlineStr">
        <x:is>
          <x:t xml:space="preserve">75–100</x:t>
        </x:is>
      </x:c>
      <x:c r="B36" s="29" t="inlineStr">
        <x:is>
          <x:t xml:space="preserve">Pilotage structuré</x:t>
        </x:is>
      </x:c>
      <x:c r="C36" s="29" t="inlineStr">
        <x:is>
          <x:t xml:space="preserve">Les opérations sont suivies avec des données et des points de contrôle.</x:t>
        </x:is>
      </x:c>
      <x:c r="D36" s="121" t="n"/>
      <x:c r="E36" s="121" t="n"/>
      <x:c r="F36" s="121" t="n"/>
      <x:c r="G36" s="121" t="n"/>
      <x:c r="H36" s="121" t="n"/>
      <x:c r="I36" s="121" t="n"/>
      <x:c r="J36" s="121" t="n"/>
      <x:c r="K36" s="29" t="inlineStr">
        <x:is>
          <x:t xml:space="preserve">Interne</x:t>
        </x:is>
      </x:c>
    </x:row>
    <x:row r="37" ht="31.5" customHeight="1">
      <x:c r="A37" s="30" t="inlineStr">
        <x:is>
          <x:t xml:space="preserve">50–74</x:t>
        </x:is>
      </x:c>
      <x:c r="B37" s="30" t="inlineStr">
        <x:is>
          <x:t xml:space="preserve">Pilotage partiellement structuré</x:t>
        </x:is>
      </x:c>
      <x:c r="C37" s="30" t="inlineStr">
        <x:is>
          <x:t xml:space="preserve">Des outils existent, mais la régularité ou la centralisation restent incomplètes.</x:t>
        </x:is>
      </x:c>
      <x:c r="D37" s="122" t="n"/>
      <x:c r="E37" s="122" t="n"/>
      <x:c r="F37" s="122" t="n"/>
      <x:c r="G37" s="122" t="n"/>
      <x:c r="H37" s="122" t="n"/>
      <x:c r="I37" s="122" t="n"/>
      <x:c r="J37" s="122" t="n"/>
      <x:c r="K37" s="30" t="inlineStr">
        <x:is>
          <x:t xml:space="preserve">Interne</x:t>
        </x:is>
      </x:c>
    </x:row>
    <x:row r="38" ht="31.5" customHeight="1">
      <x:c r="A38" s="30" t="inlineStr">
        <x:is>
          <x:t xml:space="preserve">25–49</x:t>
        </x:is>
      </x:c>
      <x:c r="B38" s="30" t="inlineStr">
        <x:is>
          <x:t xml:space="preserve">Pilotage réactif</x:t>
        </x:is>
      </x:c>
      <x:c r="C38" s="30" t="inlineStr">
        <x:is>
          <x:t xml:space="preserve">Le suivi se déclenche surtout lorsqu’une échéance ou un problème apparaît.</x:t>
        </x:is>
      </x:c>
      <x:c r="D38" s="122" t="n"/>
      <x:c r="E38" s="122" t="n"/>
      <x:c r="F38" s="122" t="n"/>
      <x:c r="G38" s="122" t="n"/>
      <x:c r="H38" s="122" t="n"/>
      <x:c r="I38" s="122" t="n"/>
      <x:c r="J38" s="122" t="n"/>
      <x:c r="K38" s="30" t="inlineStr">
        <x:is>
          <x:t xml:space="preserve">Interne</x:t>
        </x:is>
      </x:c>
    </x:row>
    <x:row r="39" ht="31.5" customHeight="1">
      <x:c r="A39" s="31" t="inlineStr">
        <x:is>
          <x:t xml:space="preserve">0–24</x:t>
        </x:is>
      </x:c>
      <x:c r="B39" s="31" t="inlineStr">
        <x:is>
          <x:t xml:space="preserve">Pilotage informel</x:t>
        </x:is>
      </x:c>
      <x:c r="C39" s="31" t="inlineStr">
        <x:is>
          <x:t xml:space="preserve">La visibilité repose principalement sur des estimations, notifications ou reconstitutions.</x:t>
        </x:is>
      </x:c>
      <x:c r="D39" s="123" t="n"/>
      <x:c r="E39" s="123" t="n"/>
      <x:c r="F39" s="123" t="n"/>
      <x:c r="G39" s="123" t="n"/>
      <x:c r="H39" s="123" t="n"/>
      <x:c r="I39" s="123" t="n"/>
      <x:c r="J39" s="123" t="n"/>
      <x:c r="K39" s="31" t="inlineStr">
        <x:is>
          <x:t xml:space="preserve">Interne</x:t>
        </x:is>
      </x:c>
    </x:row>
  </x:sheetData>
  <x:mergeCells>
    <x:mergeCell ref="C16:K16"/>
    <x:mergeCell ref="A34:K34"/>
    <x:mergeCell ref="B30:K30"/>
    <x:mergeCell ref="C22:K22"/>
    <x:mergeCell ref="A1:K1"/>
    <x:mergeCell ref="C35:J35"/>
    <x:mergeCell ref="C21:K21"/>
    <x:mergeCell ref="B32:K32"/>
    <x:mergeCell ref="B26:K26"/>
    <x:mergeCell ref="A25:K25"/>
    <x:mergeCell ref="C17:K17"/>
    <x:mergeCell ref="C23:K23"/>
    <x:mergeCell ref="B31:K31"/>
    <x:mergeCell ref="A3:K3"/>
    <x:mergeCell ref="C19:K19"/>
    <x:mergeCell ref="B27:K27"/>
    <x:mergeCell ref="C18:K18"/>
    <x:mergeCell ref="C36:J36"/>
    <x:mergeCell ref="A14:K14"/>
    <x:mergeCell ref="C39:J39"/>
    <x:mergeCell ref="C15:K15"/>
    <x:mergeCell ref="C38:J38"/>
    <x:mergeCell ref="C20:K20"/>
    <x:mergeCell ref="B29:K29"/>
    <x:mergeCell ref="C37:J37"/>
    <x:mergeCell ref="B28:K28"/>
  </x:mergeCells>
  <x:pageMargins left="0.7" right="0.7" top="0.75" bottom="0.75" header="0.3" footer="0.3"/>
  <x:tableParts count="1">
    <x:tablePart xmlns:r="http://schemas.openxmlformats.org/officeDocument/2006/relationships" r:id="R61e79a7142cb4f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.780000686645508" customWidth="1"/>
    <x:col min="2" max="2" width="14.4399995803833" customWidth="1"/>
    <x:col min="3" max="3" width="18.889999389648438" customWidth="1"/>
    <x:col min="4" max="4" width="31.670000076293945" customWidth="1"/>
    <x:col min="5" max="5" width="25.559999465942383" customWidth="1"/>
    <x:col min="6" max="6" width="25.559999465942383" customWidth="1"/>
    <x:col min="7" max="7" width="25.559999465942383" customWidth="1"/>
    <x:col min="8" max="8" width="7.78000020980835" customWidth="1"/>
  </x:cols>
  <x:sheetData>
    <x:row r="1" ht="31.5" customHeight="1">
      <x:c r="A1" s="3" t="inlineStr">
        <x:is>
          <x:t xml:space="preserve">Lecture causale — Pilotage interne × Rayonnement</x:t>
        </x:is>
      </x:c>
    </x:row>
    <x:row r="2">
      <x:c r="A2" s="7" t="inlineStr">
        <x:is>
          <x:t xml:space="preserve">Le score de pilotage décrit les fondations déclarées. Le Rayonnement mesure leurs manifestations visibles. La comparaison ne juge pas la sincérité du participant : elle identifie une cohérence ou un décalage à investiguer.</x:t>
        </x:is>
      </x:c>
    </x:row>
    <x:row r="3"/>
    <x:row r="5">
      <x:c r="A5" s="10" t="inlineStr">
        <x:is>
          <x:t xml:space="preserve">Matrice principale — seuil de solidité : 60/100</x:t>
        </x:is>
      </x:c>
    </x:row>
    <x:row r="6" ht="36" customHeight="1">
      <x:c r="A6" s="19" t="inlineStr">
        <x:is>
          <x:t xml:space="preserve">Pilotage</x:t>
        </x:is>
      </x:c>
      <x:c r="B6" s="20" t="inlineStr">
        <x:is>
          <x:t xml:space="preserve">Rayonnement</x:t>
        </x:is>
      </x:c>
      <x:c r="C6" s="20" t="inlineStr">
        <x:is>
          <x:t xml:space="preserve">Lecture</x:t>
        </x:is>
      </x:c>
      <x:c r="D6" s="20" t="inlineStr">
        <x:is>
          <x:t xml:space="preserve">Interprétation causale</x:t>
        </x:is>
      </x:c>
      <x:c r="E6" s="20" t="inlineStr">
        <x:is>
          <x:t xml:space="preserve">Priorité FeexPay</x:t>
        </x:is>
      </x:c>
      <x:c r="F6" s="20" t="inlineStr">
        <x:is>
          <x:t xml:space="preserve">Priorité marketing</x:t>
        </x:is>
      </x:c>
      <x:c r="G6" s="20" t="inlineStr">
        <x:is>
          <x:t xml:space="preserve">Formulation rapport</x:t>
        </x:is>
      </x:c>
      <x:c r="H6" s="21" t="inlineStr">
        <x:is>
          <x:t xml:space="preserve">Code</x:t>
        </x:is>
      </x:c>
    </x:row>
    <x:row r="7" ht="36" customHeight="1">
      <x:c r="A7" s="29" t="inlineStr">
        <x:is>
          <x:t xml:space="preserve">≥ 60</x:t>
        </x:is>
      </x:c>
      <x:c r="B7" s="29" t="inlineStr">
        <x:is>
          <x:t xml:space="preserve">≥ 60</x:t>
        </x:is>
      </x:c>
      <x:c r="C7" s="29" t="inlineStr">
        <x:is>
          <x:t xml:space="preserve">Cohérence consolidée</x:t>
        </x:is>
      </x:c>
      <x:c r="D7" s="29" t="inlineStr">
        <x:is>
          <x:t xml:space="preserve">Les fondations internes se matérialisent dans le rayonnement.</x:t>
        </x:is>
      </x:c>
      <x:c r="E7" s="29" t="inlineStr">
        <x:is>
          <x:t xml:space="preserve">Optimiser et industrialiser</x:t>
        </x:is>
      </x:c>
      <x:c r="F7" s="29" t="inlineStr">
        <x:is>
          <x:t xml:space="preserve">Consolider le leadership</x:t>
        </x:is>
      </x:c>
      <x:c r="G7" s="29" t="inlineStr">
        <x:is>
          <x:t xml:space="preserve">Votre organisation soutient déjà la place que votre entreprise occupe.</x:t>
        </x:is>
      </x:c>
      <x:c r="H7" s="29" t="inlineStr">
        <x:is>
          <x:t xml:space="preserve">CC</x:t>
        </x:is>
      </x:c>
    </x:row>
    <x:row r="8" ht="36" customHeight="1">
      <x:c r="A8" s="30" t="inlineStr">
        <x:is>
          <x:t xml:space="preserve">≥ 60</x:t>
        </x:is>
      </x:c>
      <x:c r="B8" s="30" t="inlineStr">
        <x:is>
          <x:t xml:space="preserve">&lt; 60</x:t>
        </x:is>
      </x:c>
      <x:c r="C8" s="30" t="inlineStr">
        <x:is>
          <x:t xml:space="preserve">Potentiel sous-exploité</x:t>
        </x:is>
      </x:c>
      <x:c r="D8" s="30" t="inlineStr">
        <x:is>
          <x:t xml:space="preserve">Le business est mieux structuré qu’il n’est perçu par son marché.</x:t>
        </x:is>
      </x:c>
      <x:c r="E8" s="30" t="inlineStr">
        <x:is>
          <x:t xml:space="preserve">Connecter les données aux parcours de croissance</x:t>
        </x:is>
      </x:c>
      <x:c r="F8" s="30" t="inlineStr">
        <x:is>
          <x:t xml:space="preserve">Accroître visibilité, preuve et acquisition</x:t>
        </x:is>
      </x:c>
      <x:c r="G8" s="30" t="inlineStr">
        <x:is>
          <x:t xml:space="preserve">Vos fondations sont plus solides que votre rayonnement actuel.</x:t>
        </x:is>
      </x:c>
      <x:c r="H8" s="30" t="inlineStr">
        <x:is>
          <x:t xml:space="preserve">PS</x:t>
        </x:is>
      </x:c>
    </x:row>
    <x:row r="9" ht="36" customHeight="1">
      <x:c r="A9" s="30" t="inlineStr">
        <x:is>
          <x:t xml:space="preserve">&lt; 60</x:t>
        </x:is>
      </x:c>
      <x:c r="B9" s="30" t="inlineStr">
        <x:is>
          <x:t xml:space="preserve">≥ 60</x:t>
        </x:is>
      </x:c>
      <x:c r="C9" s="30" t="inlineStr">
        <x:is>
          <x:t xml:space="preserve">Rayonnement sous tension</x:t>
        </x:is>
      </x:c>
      <x:c r="D9" s="30" t="inlineStr">
        <x:is>
          <x:t xml:space="preserve">La visibilité dépasse la capacité interne à tracer, suivre et absorber l’activité.</x:t>
        </x:is>
      </x:c>
      <x:c r="E9" s="30" t="inlineStr">
        <x:is>
          <x:t xml:space="preserve">Sécuriser encaissements, trésorerie et contrôle</x:t>
        </x:is>
      </x:c>
      <x:c r="F9" s="30" t="inlineStr">
        <x:is>
          <x:t xml:space="preserve">Éviter d’accélérer sans structurer</x:t>
        </x:is>
      </x:c>
      <x:c r="G9" s="30" t="inlineStr">
        <x:is>
          <x:t xml:space="preserve">Votre rayonnement avance plus vite que vos systèmes de pilotage.</x:t>
        </x:is>
      </x:c>
      <x:c r="H9" s="30" t="inlineStr">
        <x:is>
          <x:t xml:space="preserve">RT</x:t>
        </x:is>
      </x:c>
    </x:row>
    <x:row r="10" ht="36" customHeight="1">
      <x:c r="A10" s="31" t="inlineStr">
        <x:is>
          <x:t xml:space="preserve">&lt; 60</x:t>
        </x:is>
      </x:c>
      <x:c r="B10" s="31" t="inlineStr">
        <x:is>
          <x:t xml:space="preserve">&lt; 60</x:t>
        </x:is>
      </x:c>
      <x:c r="C10" s="31" t="inlineStr">
        <x:is>
          <x:t xml:space="preserve">Fondations à renforcer</x:t>
        </x:is>
      </x:c>
      <x:c r="D10" s="31" t="inlineStr">
        <x:is>
          <x:t xml:space="preserve">Les fragilités internes se reflètent dans un rayonnement encore limité.</x:t>
        </x:is>
      </x:c>
      <x:c r="E10" s="31" t="inlineStr">
        <x:is>
          <x:t xml:space="preserve">Structurer les fondamentaux prioritaires</x:t>
        </x:is>
      </x:c>
      <x:c r="F10" s="31" t="inlineStr">
        <x:is>
          <x:t xml:space="preserve">Clarifier l’offre et installer une présence régulière</x:t>
        </x:is>
      </x:c>
      <x:c r="G10" s="31" t="inlineStr">
        <x:is>
          <x:t xml:space="preserve">Le renforcement du pilotage peut devenir le premier levier de rayonnement.</x:t>
        </x:is>
      </x:c>
      <x:c r="H10" s="31" t="inlineStr">
        <x:is>
          <x:t xml:space="preserve">FR</x:t>
        </x:is>
      </x:c>
    </x:row>
    <x:row r="11" ht="36" customHeight="1"/>
    <x:row r="12" ht="36" customHeight="1">
      <x:c r="A12" s="10" t="inlineStr">
        <x:is>
          <x:t xml:space="preserve">Lecture complémentaire de l’écart</x:t>
        </x:is>
      </x:c>
    </x:row>
    <x:row r="13" ht="36" customHeight="1">
      <x:c r="A13" s="53" t="inlineStr">
        <x:is>
          <x:t xml:space="preserve">Écart = Rayonnement − Pilotage</x:t>
        </x:is>
      </x:c>
      <x:c r="B13" s="53" t="inlineStr">
        <x:is>
          <x:t xml:space="preserve">Qualificatif</x:t>
        </x:is>
      </x:c>
      <x:c r="C13" s="53" t="inlineStr">
        <x:is>
          <x:t xml:space="preserve">Lecture</x:t>
        </x:is>
      </x:c>
      <x:c r="D13" s="53" t="inlineStr">
        <x:is>
          <x:t xml:space="preserve">Action</x:t>
        </x:is>
      </x:c>
    </x:row>
    <x:row r="14" ht="36" customHeight="1">
      <x:c r="A14" s="29" t="inlineStr">
        <x:is>
          <x:t xml:space="preserve">De −15 à +15</x:t>
        </x:is>
      </x:c>
      <x:c r="B14" s="29" t="inlineStr">
        <x:is>
          <x:t xml:space="preserve">Cohérence relative</x:t>
        </x:is>
      </x:c>
      <x:c r="C14" s="29" t="inlineStr">
        <x:is>
          <x:t xml:space="preserve">Les deux scores racontent une situation globalement cohérente.</x:t>
        </x:is>
      </x:c>
      <x:c r="D14" s="29" t="inlineStr">
        <x:is>
          <x:t xml:space="preserve">Travailler le levier le plus faible sans remettre en cause l’ensemble.</x:t>
        </x:is>
      </x:c>
    </x:row>
    <x:row r="15" ht="36" customHeight="1">
      <x:c r="A15" s="30" t="inlineStr">
        <x:is>
          <x:t xml:space="preserve">≤ −16</x:t>
        </x:is>
      </x:c>
      <x:c r="B15" s="30" t="inlineStr">
        <x:is>
          <x:t xml:space="preserve">Fondations sous-exploitées</x:t>
        </x:is>
      </x:c>
      <x:c r="C15" s="30" t="inlineStr">
        <x:is>
          <x:t xml:space="preserve">Le pilotage est plus avancé que la perception du marché.</x:t>
        </x:is>
      </x:c>
      <x:c r="D15" s="30" t="inlineStr">
        <x:is>
          <x:t xml:space="preserve">Transformer l’organisation interne en preuves, visibilité et acquisition.</x:t>
        </x:is>
      </x:c>
    </x:row>
    <x:row r="16" ht="36" customHeight="1">
      <x:c r="A16" s="31" t="inlineStr">
        <x:is>
          <x:t xml:space="preserve">≥ +16</x:t>
        </x:is>
      </x:c>
      <x:c r="B16" s="31" t="inlineStr">
        <x:is>
          <x:t xml:space="preserve">Rayonnement exposé</x:t>
        </x:is>
      </x:c>
      <x:c r="C16" s="31" t="inlineStr">
        <x:is>
          <x:t xml:space="preserve">Le marché perçoit davantage que ce que les systèmes internes semblent pouvoir soutenir.</x:t>
        </x:is>
      </x:c>
      <x:c r="D16" s="31" t="inlineStr">
        <x:is>
          <x:t xml:space="preserve">Sécuriser la traçabilité, la trésorerie et la délégation avant l’accélération.</x:t>
        </x:is>
      </x:c>
    </x:row>
    <x:row r="17" ht="36" customHeight="1"/>
    <x:row r="18" ht="36" customHeight="1">
      <x:c r="A18" s="10" t="inlineStr">
        <x:is>
          <x:t xml:space="preserve">Règles du score de Rayonnement</x:t>
        </x:is>
      </x:c>
    </x:row>
    <x:row r="19" ht="36" customHeight="1">
      <x:c r="A19" s="19" t="inlineStr">
        <x:is>
          <x:t xml:space="preserve">Dimension</x:t>
        </x:is>
      </x:c>
      <x:c r="B19" s="20" t="inlineStr">
        <x:is>
          <x:t xml:space="preserve">Calcul</x:t>
        </x:is>
      </x:c>
      <x:c r="C19" s="20" t="inlineStr">
        <x:is>
          <x:t xml:space="preserve">Poids global</x:t>
        </x:is>
      </x:c>
      <x:c r="D19" s="21" t="inlineStr">
        <x:is>
          <x:t xml:space="preserve">Source</x:t>
        </x:is>
      </x:c>
    </x:row>
    <x:row r="20" ht="36" customHeight="1">
      <x:c r="A20" s="29" t="inlineStr">
        <x:is>
          <x:t xml:space="preserve">Notoriété</x:t>
        </x:is>
      </x:c>
      <x:c r="B20" s="29" t="inlineStr">
        <x:is>
          <x:t xml:space="preserve">R1 / 3 × 100</x:t>
        </x:is>
      </x:c>
      <x:c r="C20" s="131" t="n">
        <x:v>0.2</x:v>
      </x:c>
      <x:c r="D20" s="29" t="inlineStr">
        <x:is>
          <x:t xml:space="preserve">Question 1</x:t>
        </x:is>
      </x:c>
    </x:row>
    <x:row r="21" ht="36" customHeight="1">
      <x:c r="A21" s="30" t="inlineStr">
        <x:is>
          <x:t xml:space="preserve">Lecture concurrentielle</x:t>
        </x:is>
      </x:c>
      <x:c r="B21" s="30" t="inlineStr">
        <x:is>
          <x:t xml:space="preserve">R2 / 3 × 100</x:t>
        </x:is>
      </x:c>
      <x:c r="C21" s="132" t="n">
        <x:v>0.15</x:v>
      </x:c>
      <x:c r="D21" s="30" t="inlineStr">
        <x:is>
          <x:t xml:space="preserve">Question 2</x:t>
        </x:is>
      </x:c>
    </x:row>
    <x:row r="22" ht="36" customHeight="1">
      <x:c r="A22" s="30" t="inlineStr">
        <x:is>
          <x:t xml:space="preserve">Différenciation</x:t>
        </x:is>
      </x:c>
      <x:c r="B22" s="30" t="inlineStr">
        <x:is>
          <x:t xml:space="preserve">R4 / 3 × 100</x:t>
        </x:is>
      </x:c>
      <x:c r="C22" s="132" t="n">
        <x:v>0.25</x:v>
      </x:c>
      <x:c r="D22" s="30" t="inlineStr">
        <x:is>
          <x:t xml:space="preserve">Question 4 ; la question 3 fournit uniquement le tag</x:t>
        </x:is>
      </x:c>
    </x:row>
    <x:row r="23" ht="36" customHeight="1">
      <x:c r="A23" s="30" t="inlineStr">
        <x:is>
          <x:t xml:space="preserve">Digital</x:t>
        </x:is>
      </x:c>
      <x:c r="B23" s="30" t="inlineStr">
        <x:is>
          <x:t xml:space="preserve">(R5 / 3 × 100 × 60 %) + (R6 / 3 × 100 × 40 %)</x:t>
        </x:is>
      </x:c>
      <x:c r="C23" s="132" t="n">
        <x:v>0.2</x:v>
      </x:c>
      <x:c r="D23" s="30" t="inlineStr">
        <x:is>
          <x:t xml:space="preserve">Questions 5 et 6</x:t>
        </x:is>
      </x:c>
    </x:row>
    <x:row r="24" ht="36" customHeight="1">
      <x:c r="A24" s="31" t="inlineStr">
        <x:is>
          <x:t xml:space="preserve">Empreinte</x:t>
        </x:is>
      </x:c>
      <x:c r="B24" s="31" t="inlineStr">
        <x:is>
          <x:t xml:space="preserve">R7 / 3 × 100</x:t>
        </x:is>
      </x:c>
      <x:c r="C24" s="133" t="n">
        <x:v>0.2</x:v>
      </x:c>
      <x:c r="D24" s="31" t="inlineStr">
        <x:is>
          <x:t xml:space="preserve">Question 7</x:t>
        </x:is>
      </x:c>
    </x:row>
    <x:row r="25" ht="36" customHeight="1"/>
    <x:row r="26" ht="36" customHeight="1">
      <x:c r="A26" s="10" t="inlineStr">
        <x:is>
          <x:t xml:space="preserve">Niveaux et météo</x:t>
        </x:is>
      </x:c>
    </x:row>
    <x:row r="27" ht="36" customHeight="1">
      <x:c r="A27" s="19" t="inlineStr">
        <x:is>
          <x:t xml:space="preserve">Score</x:t>
        </x:is>
      </x:c>
      <x:c r="B27" s="20" t="inlineStr">
        <x:is>
          <x:t xml:space="preserve">Niveau</x:t>
        </x:is>
      </x:c>
      <x:c r="C27" s="20" t="inlineStr">
        <x:is>
          <x:t xml:space="preserve">Météo</x:t>
        </x:is>
      </x:c>
      <x:c r="D27" s="21" t="inlineStr">
        <x:is>
          <x:t xml:space="preserve">Lecture synthétique</x:t>
        </x:is>
      </x:c>
    </x:row>
    <x:row r="28" ht="36" customHeight="1">
      <x:c r="A28" s="29" t="inlineStr">
        <x:is>
          <x:t xml:space="preserve">80–100</x:t>
        </x:is>
      </x:c>
      <x:c r="B28" s="29" t="inlineStr">
        <x:is>
          <x:t xml:space="preserve">Dominant</x:t>
        </x:is>
      </x:c>
      <x:c r="C28" s="29" t="inlineStr">
        <x:is>
          <x:t xml:space="preserve">Soleil</x:t>
        </x:is>
      </x:c>
      <x:c r="D28" s="29" t="inlineStr">
        <x:is>
          <x:t xml:space="preserve">La marque rayonne et doit défendre puis renouveler son leadership.</x:t>
        </x:is>
      </x:c>
    </x:row>
    <x:row r="29" ht="36" customHeight="1">
      <x:c r="A29" s="30" t="inlineStr">
        <x:is>
          <x:t xml:space="preserve">60–79</x:t>
        </x:is>
      </x:c>
      <x:c r="B29" s="30" t="inlineStr">
        <x:is>
          <x:t xml:space="preserve">Challenger fort</x:t>
        </x:is>
      </x:c>
      <x:c r="C29" s="30" t="inlineStr">
        <x:is>
          <x:t xml:space="preserve">Éclaircies</x:t>
        </x:is>
      </x:c>
      <x:c r="D29" s="30" t="inlineStr">
        <x:is>
          <x:t xml:space="preserve">La marque devient difficile à ignorer, mais doit consolider certains leviers.</x:t>
        </x:is>
      </x:c>
    </x:row>
    <x:row r="30" ht="36" customHeight="1">
      <x:c r="A30" s="30" t="inlineStr">
        <x:is>
          <x:t xml:space="preserve">40–59</x:t>
        </x:is>
      </x:c>
      <x:c r="B30" s="30" t="inlineStr">
        <x:is>
          <x:t xml:space="preserve">Acteur silencieux</x:t>
        </x:is>
      </x:c>
      <x:c r="C30" s="30" t="inlineStr">
        <x:is>
          <x:t xml:space="preserve">Nuageux</x:t>
        </x:is>
      </x:c>
      <x:c r="D30" s="30" t="inlineStr">
        <x:is>
          <x:t xml:space="preserve">La valeur existe, mais le marché ne la perçoit pas encore à sa juste mesure.</x:t>
        </x:is>
      </x:c>
    </x:row>
    <x:row r="31" ht="36" customHeight="1">
      <x:c r="A31" s="30" t="inlineStr">
        <x:is>
          <x:t xml:space="preserve">20–39</x:t>
        </x:is>
      </x:c>
      <x:c r="B31" s="30" t="inlineStr">
        <x:is>
          <x:t xml:space="preserve">Marque fragile</x:t>
        </x:is>
      </x:c>
      <x:c r="C31" s="30" t="inlineStr">
        <x:is>
          <x:t xml:space="preserve">Pluie</x:t>
        </x:is>
      </x:c>
      <x:c r="D31" s="30" t="inlineStr">
        <x:is>
          <x:t xml:space="preserve">La présence et la différence restent insuffisamment installées.</x:t>
        </x:is>
      </x:c>
    </x:row>
    <x:row r="32" ht="36" customHeight="1">
      <x:c r="A32" s="31" t="inlineStr">
        <x:is>
          <x:t xml:space="preserve">0–19</x:t>
        </x:is>
      </x:c>
      <x:c r="B32" s="31" t="inlineStr">
        <x:is>
          <x:t xml:space="preserve">Zone de disparition</x:t>
        </x:is>
      </x:c>
      <x:c r="C32" s="31" t="inlineStr">
        <x:is>
          <x:t xml:space="preserve">Tempête</x:t>
        </x:is>
      </x:c>
      <x:c r="D32" s="31" t="inlineStr">
        <x:is>
          <x:t xml:space="preserve">L’empreinte est très faible et plusieurs fondamentaux doivent être retravaillés.</x:t>
        </x:is>
      </x:c>
    </x:row>
    <x:row r="33" ht="36" customHeight="1"/>
    <x:row r="34" ht="36" customHeight="1">
      <x:c r="A34" s="29" t="inlineStr">
        <x:is>
          <x:t xml:space="preserve">Nuance météo</x:t>
        </x:is>
      </x:c>
      <x:c r="B34" s="29" t="inlineStr">
        <x:is>
          <x:t xml:space="preserve">« avec potentiel d’éclaircie » si le score est à 5 points ou moins du niveau supérieur, si au moins deux dimensions atteignent déjà ce seuil et si aucune dimension n’est sous 20.</x:t>
        </x:is>
      </x:c>
      <x:c r="C34" s="121" t="n"/>
      <x:c r="D34" s="121" t="n"/>
      <x:c r="E34" s="121" t="n"/>
      <x:c r="F34" s="121" t="n"/>
      <x:c r="G34" s="121" t="n"/>
      <x:c r="H34" s="121" t="n"/>
    </x:row>
    <x:row r="35" ht="36" customHeight="1">
      <x:c r="A35" s="30" t="inlineStr">
        <x:is>
          <x:t xml:space="preserve">Bornes</x:t>
        </x:is>
      </x:c>
      <x:c r="B35" s="30" t="inlineStr">
        <x:is>
          <x:t xml:space="preserve">Les bornes sont inclusives ; 60 appartient à Challenger fort et 59 à Acteur silencieux.</x:t>
        </x:is>
      </x:c>
      <x:c r="C35" s="122" t="n"/>
      <x:c r="D35" s="122" t="n"/>
      <x:c r="E35" s="122" t="n"/>
      <x:c r="F35" s="122" t="n"/>
      <x:c r="G35" s="122" t="n"/>
      <x:c r="H35" s="122" t="n"/>
    </x:row>
    <x:row r="36" ht="36" customHeight="1">
      <x:c r="A36" s="31" t="inlineStr">
        <x:is>
          <x:t xml:space="preserve">Arrondi</x:t>
        </x:is>
      </x:c>
      <x:c r="B36" s="31" t="inlineStr">
        <x:is>
          <x:t xml:space="preserve">Le moteur stocke le score non arrondi ; l’interface affiche l’entier arrondi.</x:t>
        </x:is>
      </x:c>
      <x:c r="C36" s="123" t="n"/>
      <x:c r="D36" s="123" t="n"/>
      <x:c r="E36" s="123" t="n"/>
      <x:c r="F36" s="123" t="n"/>
      <x:c r="G36" s="123" t="n"/>
      <x:c r="H36" s="123" t="n"/>
    </x:row>
  </x:sheetData>
  <x:mergeCells>
    <x:mergeCell ref="A12:H12"/>
    <x:mergeCell ref="B36:H36"/>
    <x:mergeCell ref="A18:H18"/>
    <x:mergeCell ref="A26:H26"/>
    <x:mergeCell ref="A5:H5"/>
    <x:mergeCell ref="B35:H35"/>
    <x:mergeCell ref="A2:H3"/>
    <x:mergeCell ref="A1:H1"/>
    <x:mergeCell ref="B34:H3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0" customWidth="1"/>
    <x:col min="8" max="8" width="20" customWidth="1"/>
  </x:cols>
  <x:sheetData>
    <x:row r="1" ht="31.5" customHeight="1">
      <x:c r="A1" s="3" t="inlineStr">
        <x:is>
          <x:t xml:space="preserve">Contrôles d’équilibrage et cas de recette</x:t>
        </x:is>
      </x:c>
    </x:row>
    <x:row r="3">
      <x:c r="A3" s="10" t="inlineStr">
        <x:is>
          <x:t xml:space="preserve">Équilibrage de la matrice dirigeant</x:t>
        </x:is>
      </x:c>
    </x:row>
    <x:row r="4" ht="31.5" customHeight="1">
      <x:c r="A4" s="19" t="inlineStr">
        <x:is>
          <x:t xml:space="preserve">Dimension</x:t>
        </x:is>
      </x:c>
      <x:c r="B4" s="20" t="inlineStr">
        <x:is>
          <x:t xml:space="preserve">Code</x:t>
        </x:is>
      </x:c>
      <x:c r="C4" s="20" t="inlineStr">
        <x:is>
          <x:t xml:space="preserve">Occurrences +2</x:t>
        </x:is>
      </x:c>
      <x:c r="D4" s="20" t="inlineStr">
        <x:is>
          <x:t xml:space="preserve">Occurrences +1</x:t>
        </x:is>
      </x:c>
      <x:c r="E4" s="20" t="inlineStr">
        <x:is>
          <x:t xml:space="preserve">Maximum atteignable</x:t>
        </x:is>
      </x:c>
      <x:c r="F4" s="21" t="inlineStr">
        <x:is>
          <x:t xml:space="preserve">Contrôle</x:t>
        </x:is>
      </x:c>
    </x:row>
    <x:row r="5" ht="31.5" customHeight="1">
      <x:c r="A5" s="29" t="inlineStr">
        <x:is>
          <x:t xml:space="preserve">Vision</x:t>
        </x:is>
      </x:c>
      <x:c r="B5" s="29" t="inlineStr">
        <x:is>
          <x:t xml:space="preserve">VIS</x:t>
        </x:is>
      </x:c>
      <x:c r="C5" s="29" t="n">
        <x:f>COUNTIF('Dirigeant - Matrice'!$E$5:$E$60,B5)</x:f>
        <x:v>7</x:v>
      </x:c>
      <x:c r="D5" s="29" t="n">
        <x:f>COUNTIF('Dirigeant - Matrice'!$G$5:$G$60,B5)</x:f>
        <x:v>7</x:v>
      </x:c>
      <x:c r="E5" s="29" t="n">
        <x:v>12</x:v>
      </x:c>
      <x:c r="F5" s="29" t="str">
        <x:f>IF(AND(C5=7,D5=7),"OK","À vérifier")</x:f>
        <x:v>OK</x:v>
      </x:c>
    </x:row>
    <x:row r="6" ht="31.5" customHeight="1">
      <x:c r="A6" s="30" t="inlineStr">
        <x:is>
          <x:t xml:space="preserve">Stratégie</x:t>
        </x:is>
      </x:c>
      <x:c r="B6" s="30" t="inlineStr">
        <x:is>
          <x:t xml:space="preserve">STR</x:t>
        </x:is>
      </x:c>
      <x:c r="C6" s="30" t="n">
        <x:f>COUNTIF('Dirigeant - Matrice'!$E$5:$E$60,B6)</x:f>
        <x:v>7</x:v>
      </x:c>
      <x:c r="D6" s="30" t="n">
        <x:f>COUNTIF('Dirigeant - Matrice'!$G$5:$G$60,B6)</x:f>
        <x:v>7</x:v>
      </x:c>
      <x:c r="E6" s="30" t="n">
        <x:v>15</x:v>
      </x:c>
      <x:c r="F6" s="30" t="str">
        <x:f>IF(AND(C6=7,D6=7),"OK","À vérifier")</x:f>
        <x:v>OK</x:v>
      </x:c>
    </x:row>
    <x:row r="7" ht="31.5" customHeight="1">
      <x:c r="A7" s="30" t="inlineStr">
        <x:is>
          <x:t xml:space="preserve">Exécution</x:t>
        </x:is>
      </x:c>
      <x:c r="B7" s="30" t="inlineStr">
        <x:is>
          <x:t xml:space="preserve">EXE</x:t>
        </x:is>
      </x:c>
      <x:c r="C7" s="30" t="n">
        <x:f>COUNTIF('Dirigeant - Matrice'!$E$5:$E$60,B7)</x:f>
        <x:v>7</x:v>
      </x:c>
      <x:c r="D7" s="30" t="n">
        <x:f>COUNTIF('Dirigeant - Matrice'!$G$5:$G$60,B7)</x:f>
        <x:v>7</x:v>
      </x:c>
      <x:c r="E7" s="30" t="n">
        <x:v>17</x:v>
      </x:c>
      <x:c r="F7" s="30" t="str">
        <x:f>IF(AND(C7=7,D7=7),"OK","À vérifier")</x:f>
        <x:v>OK</x:v>
      </x:c>
    </x:row>
    <x:row r="8" ht="31.5" customHeight="1">
      <x:c r="A8" s="30" t="inlineStr">
        <x:is>
          <x:t xml:space="preserve">Organisation</x:t>
        </x:is>
      </x:c>
      <x:c r="B8" s="30" t="inlineStr">
        <x:is>
          <x:t xml:space="preserve">ORG</x:t>
        </x:is>
      </x:c>
      <x:c r="C8" s="30" t="n">
        <x:f>COUNTIF('Dirigeant - Matrice'!$E$5:$E$60,B8)</x:f>
        <x:v>7</x:v>
      </x:c>
      <x:c r="D8" s="30" t="n">
        <x:f>COUNTIF('Dirigeant - Matrice'!$G$5:$G$60,B8)</x:f>
        <x:v>7</x:v>
      </x:c>
      <x:c r="E8" s="30" t="n">
        <x:v>18</x:v>
      </x:c>
      <x:c r="F8" s="30" t="str">
        <x:f>IF(AND(C8=7,D8=7),"OK","À vérifier")</x:f>
        <x:v>OK</x:v>
      </x:c>
    </x:row>
    <x:row r="9" ht="31.5" customHeight="1">
      <x:c r="A9" s="30" t="inlineStr">
        <x:is>
          <x:t xml:space="preserve">Influence</x:t>
        </x:is>
      </x:c>
      <x:c r="B9" s="30" t="inlineStr">
        <x:is>
          <x:t xml:space="preserve">INF</x:t>
        </x:is>
      </x:c>
      <x:c r="C9" s="30" t="n">
        <x:f>COUNTIF('Dirigeant - Matrice'!$E$5:$E$60,B9)</x:f>
        <x:v>7</x:v>
      </x:c>
      <x:c r="D9" s="30" t="n">
        <x:f>COUNTIF('Dirigeant - Matrice'!$G$5:$G$60,B9)</x:f>
        <x:v>7</x:v>
      </x:c>
      <x:c r="E9" s="30" t="n">
        <x:v>17</x:v>
      </x:c>
      <x:c r="F9" s="30" t="str">
        <x:f>IF(AND(C9=7,D9=7),"OK","À vérifier")</x:f>
        <x:v>OK</x:v>
      </x:c>
    </x:row>
    <x:row r="10" ht="31.5" customHeight="1">
      <x:c r="A10" s="30" t="inlineStr">
        <x:is>
          <x:t xml:space="preserve">Audace</x:t>
        </x:is>
      </x:c>
      <x:c r="B10" s="30" t="inlineStr">
        <x:is>
          <x:t xml:space="preserve">AUD</x:t>
        </x:is>
      </x:c>
      <x:c r="C10" s="30" t="n">
        <x:f>COUNTIF('Dirigeant - Matrice'!$E$5:$E$60,B10)</x:f>
        <x:v>7</x:v>
      </x:c>
      <x:c r="D10" s="30" t="n">
        <x:f>COUNTIF('Dirigeant - Matrice'!$G$5:$G$60,B10)</x:f>
        <x:v>7</x:v>
      </x:c>
      <x:c r="E10" s="30" t="n">
        <x:v>15</x:v>
      </x:c>
      <x:c r="F10" s="30" t="str">
        <x:f>IF(AND(C10=7,D10=7),"OK","À vérifier")</x:f>
        <x:v>OK</x:v>
      </x:c>
    </x:row>
    <x:row r="11" ht="31.5" customHeight="1">
      <x:c r="A11" s="30" t="inlineStr">
        <x:is>
          <x:t xml:space="preserve">Adaptabilité</x:t>
        </x:is>
      </x:c>
      <x:c r="B11" s="30" t="inlineStr">
        <x:is>
          <x:t xml:space="preserve">ADA</x:t>
        </x:is>
      </x:c>
      <x:c r="C11" s="30" t="n">
        <x:f>COUNTIF('Dirigeant - Matrice'!$E$5:$E$60,B11)</x:f>
        <x:v>7</x:v>
      </x:c>
      <x:c r="D11" s="30" t="n">
        <x:f>COUNTIF('Dirigeant - Matrice'!$G$5:$G$60,B11)</x:f>
        <x:v>7</x:v>
      </x:c>
      <x:c r="E11" s="30" t="n">
        <x:v>16</x:v>
      </x:c>
      <x:c r="F11" s="30" t="str">
        <x:f>IF(AND(C11=7,D11=7),"OK","À vérifier")</x:f>
        <x:v>OK</x:v>
      </x:c>
    </x:row>
    <x:row r="12" ht="31.5" customHeight="1">
      <x:c r="A12" s="31" t="inlineStr">
        <x:is>
          <x:t xml:space="preserve">Transformation</x:t>
        </x:is>
      </x:c>
      <x:c r="B12" s="31" t="inlineStr">
        <x:is>
          <x:t xml:space="preserve">TRA</x:t>
        </x:is>
      </x:c>
      <x:c r="C12" s="31" t="n">
        <x:f>COUNTIF('Dirigeant - Matrice'!$E$5:$E$60,B12)</x:f>
        <x:v>7</x:v>
      </x:c>
      <x:c r="D12" s="31" t="n">
        <x:f>COUNTIF('Dirigeant - Matrice'!$G$5:$G$60,B12)</x:f>
        <x:v>7</x:v>
      </x:c>
      <x:c r="E12" s="31" t="n">
        <x:v>17</x:v>
      </x:c>
      <x:c r="F12" s="31" t="str">
        <x:f>IF(AND(C12=7,D12=7),"OK","À vérifier")</x:f>
        <x:v>OK</x:v>
      </x:c>
    </x:row>
    <x:row r="13" ht="31.5" customHeight="1"/>
    <x:row r="14" ht="31.5" customHeight="1">
      <x:c r="A14" s="10" t="inlineStr">
        <x:is>
          <x:t xml:space="preserve">Accessibilité des 8 archétypes — exemples trouvés par test de simulation</x:t>
        </x:is>
      </x:c>
    </x:row>
    <x:row r="15" ht="31.5" customHeight="1">
      <x:c r="A15" s="19" t="inlineStr">
        <x:is>
          <x:t xml:space="preserve">Archétype</x:t>
        </x:is>
      </x:c>
      <x:c r="B15" s="20" t="inlineStr">
        <x:is>
          <x:t xml:space="preserve">Séquence Q1→Q14</x:t>
        </x:is>
      </x:c>
      <x:c r="C15" s="20" t="inlineStr">
        <x:is>
          <x:t xml:space="preserve">Affinité</x:t>
        </x:is>
      </x:c>
      <x:c r="D15" s="20" t="inlineStr">
        <x:is>
          <x:t xml:space="preserve">Marge sur le 2e</x:t>
        </x:is>
      </x:c>
      <x:c r="E15" s="21" t="inlineStr">
        <x:is>
          <x:t xml:space="preserve">Utilisation</x:t>
        </x:is>
      </x:c>
    </x:row>
    <x:row r="16" ht="31.5" customHeight="1">
      <x:c r="A16" s="29" t="inlineStr">
        <x:is>
          <x:t xml:space="preserve">Stratège</x:t>
        </x:is>
      </x:c>
      <x:c r="B16" s="29" t="inlineStr">
        <x:is>
          <x:t xml:space="preserve">BCBADBADDBCADA</x:t>
        </x:is>
      </x:c>
      <x:c r="C16" s="128" t="n">
        <x:v>61.67</x:v>
      </x:c>
      <x:c r="D16" s="128" t="n">
        <x:v>26.7</x:v>
      </x:c>
      <x:c r="E16" s="29" t="inlineStr">
        <x:is>
          <x:t xml:space="preserve">Cas par défaut du simulateur</x:t>
        </x:is>
      </x:c>
    </x:row>
    <x:row r="17" ht="31.5" customHeight="1">
      <x:c r="A17" s="30" t="inlineStr">
        <x:is>
          <x:t xml:space="preserve">Visionnaire</x:t>
        </x:is>
      </x:c>
      <x:c r="B17" s="30" t="inlineStr">
        <x:is>
          <x:t xml:space="preserve">ADCBCCAAADADAD</x:t>
        </x:is>
      </x:c>
      <x:c r="C17" s="129" t="n">
        <x:v>63.48</x:v>
      </x:c>
      <x:c r="D17" s="129" t="n">
        <x:v>23.5</x:v>
      </x:c>
      <x:c r="E17" s="30" t="inlineStr">
        <x:is>
          <x:t xml:space="preserve">Contrôle d’accessibilité</x:t>
        </x:is>
      </x:c>
    </x:row>
    <x:row r="18" ht="31.5" customHeight="1">
      <x:c r="A18" s="30" t="inlineStr">
        <x:is>
          <x:t xml:space="preserve">Bâtisseur</x:t>
        </x:is>
      </x:c>
      <x:c r="B18" s="30" t="inlineStr">
        <x:is>
          <x:t xml:space="preserve">CADBCCBCBADCBB</x:t>
        </x:is>
      </x:c>
      <x:c r="C18" s="129" t="n">
        <x:v>58.78</x:v>
      </x:c>
      <x:c r="D18" s="129" t="n">
        <x:v>15.73</x:v>
      </x:c>
      <x:c r="E18" s="30" t="inlineStr">
        <x:is>
          <x:t xml:space="preserve">Contrôle d’accessibilité</x:t>
        </x:is>
      </x:c>
    </x:row>
    <x:row r="19" ht="31.5" customHeight="1">
      <x:c r="A19" s="30" t="inlineStr">
        <x:is>
          <x:t xml:space="preserve">Conquérant</x:t>
        </x:is>
      </x:c>
      <x:c r="B19" s="30" t="inlineStr">
        <x:is>
          <x:t xml:space="preserve">DDADCCDBDCDABC</x:t>
        </x:is>
      </x:c>
      <x:c r="C19" s="129" t="n">
        <x:v>70.15000000000001</x:v>
      </x:c>
      <x:c r="D19" s="129" t="n">
        <x:v>25.36</x:v>
      </x:c>
      <x:c r="E19" s="30" t="inlineStr">
        <x:is>
          <x:t xml:space="preserve">Contrôle d’accessibilité</x:t>
        </x:is>
      </x:c>
    </x:row>
    <x:row r="20" ht="31.5" customHeight="1">
      <x:c r="A20" s="30" t="inlineStr">
        <x:is>
          <x:t xml:space="preserve">Fédérateur</x:t>
        </x:is>
      </x:c>
      <x:c r="B20" s="30" t="inlineStr">
        <x:is>
          <x:t xml:space="preserve">CCCCCDADBBCBCA</x:t>
        </x:is>
      </x:c>
      <x:c r="C20" s="129" t="n">
        <x:v>71.41</x:v>
      </x:c>
      <x:c r="D20" s="129" t="n">
        <x:v>27.1</x:v>
      </x:c>
      <x:c r="E20" s="30" t="inlineStr">
        <x:is>
          <x:t xml:space="preserve">Contrôle d’accessibilité</x:t>
        </x:is>
      </x:c>
    </x:row>
    <x:row r="21" ht="31.5" customHeight="1">
      <x:c r="A21" s="30" t="inlineStr">
        <x:is>
          <x:t xml:space="preserve">Résilient</x:t>
        </x:is>
      </x:c>
      <x:c r="B21" s="30" t="inlineStr">
        <x:is>
          <x:t xml:space="preserve">BADCDDCCCBCCBD</x:t>
        </x:is>
      </x:c>
      <x:c r="C21" s="129" t="n">
        <x:v>65.44</x:v>
      </x:c>
      <x:c r="D21" s="129" t="n">
        <x:v>21.15</x:v>
      </x:c>
      <x:c r="E21" s="30" t="inlineStr">
        <x:is>
          <x:t xml:space="preserve">Contrôle d’accessibilité</x:t>
        </x:is>
      </x:c>
    </x:row>
    <x:row r="22" ht="31.5" customHeight="1">
      <x:c r="A22" s="30" t="inlineStr">
        <x:is>
          <x:t xml:space="preserve">Gestionnaire</x:t>
        </x:is>
      </x:c>
      <x:c r="B22" s="30" t="inlineStr">
        <x:is>
          <x:t xml:space="preserve">DABBABBBADADDC</x:t>
        </x:is>
      </x:c>
      <x:c r="C22" s="129" t="n">
        <x:v>61.38</x:v>
      </x:c>
      <x:c r="D22" s="129" t="n">
        <x:v>11.45</x:v>
      </x:c>
      <x:c r="E22" s="30" t="inlineStr">
        <x:is>
          <x:t xml:space="preserve">Contrôle d’accessibilité</x:t>
        </x:is>
      </x:c>
    </x:row>
    <x:row r="23" ht="31.5" customHeight="1">
      <x:c r="A23" s="31" t="inlineStr">
        <x:is>
          <x:t xml:space="preserve">Réformateur</x:t>
        </x:is>
      </x:c>
      <x:c r="B23" s="31" t="inlineStr">
        <x:is>
          <x:t xml:space="preserve">DBDADACADABADA</x:t>
        </x:is>
      </x:c>
      <x:c r="C23" s="130" t="n">
        <x:v>67.51000000000001</x:v>
      </x:c>
      <x:c r="D23" s="130" t="n">
        <x:v>26.68</x:v>
      </x:c>
      <x:c r="E23" s="31" t="inlineStr">
        <x:is>
          <x:t xml:space="preserve">Contrôle d’accessibilité</x:t>
        </x:is>
      </x:c>
    </x:row>
    <x:row r="24" ht="31.5" customHeight="1"/>
    <x:row r="25" ht="31.5" customHeight="1">
      <x:c r="A25" s="10" t="inlineStr">
        <x:is>
          <x:t xml:space="preserve">Cas limites de la double lecture</x:t>
        </x:is>
      </x:c>
    </x:row>
    <x:row r="26" ht="31.5" customHeight="1">
      <x:c r="A26" s="19" t="inlineStr">
        <x:is>
          <x:t xml:space="preserve">Cas</x:t>
        </x:is>
      </x:c>
      <x:c r="B26" s="20" t="inlineStr">
        <x:is>
          <x:t xml:space="preserve">Choix Dirigeant</x:t>
        </x:is>
      </x:c>
      <x:c r="C26" s="20" t="inlineStr">
        <x:is>
          <x:t xml:space="preserve">Choix Rayonnement</x:t>
        </x:is>
      </x:c>
      <x:c r="D26" s="20" t="inlineStr">
        <x:is>
          <x:t xml:space="preserve">Pilotage attendu</x:t>
        </x:is>
      </x:c>
      <x:c r="E26" s="20" t="inlineStr">
        <x:is>
          <x:t xml:space="preserve">Rayonnement attendu</x:t>
        </x:is>
      </x:c>
      <x:c r="F26" s="21" t="inlineStr">
        <x:is>
          <x:t xml:space="preserve">Lecture croisée attendue</x:t>
        </x:is>
      </x:c>
    </x:row>
    <x:row r="27" ht="31.5" customHeight="1">
      <x:c r="A27" s="29" t="inlineStr">
        <x:is>
          <x:t xml:space="preserve">Toutes les premières options</x:t>
        </x:is>
      </x:c>
      <x:c r="B27" s="29" t="inlineStr">
        <x:is>
          <x:t xml:space="preserve">AAAAAAAAAAAAAA</x:t>
        </x:is>
      </x:c>
      <x:c r="C27" s="29" t="inlineStr">
        <x:is>
          <x:t xml:space="preserve">AAAAAAA</x:t>
        </x:is>
      </x:c>
      <x:c r="D27" s="128" t="n">
        <x:v>100</x:v>
      </x:c>
      <x:c r="E27" s="128" t="n">
        <x:v>0</x:v>
      </x:c>
      <x:c r="F27" s="29" t="inlineStr">
        <x:is>
          <x:t xml:space="preserve">Potentiel sous-exploité</x:t>
        </x:is>
      </x:c>
    </x:row>
    <x:row r="28" ht="31.5" customHeight="1">
      <x:c r="A28" s="30" t="inlineStr">
        <x:is>
          <x:t xml:space="preserve">Toutes les deuxièmes options</x:t>
        </x:is>
      </x:c>
      <x:c r="B28" s="30" t="inlineStr">
        <x:is>
          <x:t xml:space="preserve">BBBBBBBBBBBBBB</x:t>
        </x:is>
      </x:c>
      <x:c r="C28" s="30" t="inlineStr">
        <x:is>
          <x:t xml:space="preserve">BBBBBBB</x:t>
        </x:is>
      </x:c>
      <x:c r="D28" s="129" t="n">
        <x:v>66.67</x:v>
      </x:c>
      <x:c r="E28" s="129" t="n">
        <x:v>33.33</x:v>
      </x:c>
      <x:c r="F28" s="30" t="inlineStr">
        <x:is>
          <x:t xml:space="preserve">Potentiel sous-exploité</x:t>
        </x:is>
      </x:c>
    </x:row>
    <x:row r="29" ht="31.5" customHeight="1">
      <x:c r="A29" s="30" t="inlineStr">
        <x:is>
          <x:t xml:space="preserve">Toutes les troisièmes options</x:t>
        </x:is>
      </x:c>
      <x:c r="B29" s="30" t="inlineStr">
        <x:is>
          <x:t xml:space="preserve">CCCCCCCCCCCCCC</x:t>
        </x:is>
      </x:c>
      <x:c r="C29" s="30" t="inlineStr">
        <x:is>
          <x:t xml:space="preserve">CCCCCCC</x:t>
        </x:is>
      </x:c>
      <x:c r="D29" s="129" t="n">
        <x:v>33.33</x:v>
      </x:c>
      <x:c r="E29" s="129" t="n">
        <x:v>66.67</x:v>
      </x:c>
      <x:c r="F29" s="30" t="inlineStr">
        <x:is>
          <x:t xml:space="preserve">Rayonnement sous tension</x:t>
        </x:is>
      </x:c>
    </x:row>
    <x:row r="30" ht="31.5" customHeight="1">
      <x:c r="A30" s="31" t="inlineStr">
        <x:is>
          <x:t xml:space="preserve">Toutes les dernières options</x:t>
        </x:is>
      </x:c>
      <x:c r="B30" s="31" t="inlineStr">
        <x:is>
          <x:t xml:space="preserve">DDDDDDDDDDDDDD</x:t>
        </x:is>
      </x:c>
      <x:c r="C30" s="31" t="inlineStr">
        <x:is>
          <x:t xml:space="preserve">DDDDDDD</x:t>
        </x:is>
      </x:c>
      <x:c r="D30" s="130" t="n">
        <x:v>0</x:v>
      </x:c>
      <x:c r="E30" s="130" t="n">
        <x:v>100</x:v>
      </x:c>
      <x:c r="F30" s="31" t="inlineStr">
        <x:is>
          <x:t xml:space="preserve">Rayonnement sous tension</x:t>
        </x:is>
      </x:c>
    </x:row>
    <x:row r="31" ht="31.5" customHeight="1"/>
    <x:row r="32" ht="31.5" customHeight="1">
      <x:c r="A32" s="29" t="inlineStr">
        <x:is>
          <x:t xml:space="preserve">Note méthodologique</x:t>
        </x:is>
      </x:c>
      <x:c r="B32" s="29" t="inlineStr">
        <x:is>
          <x:t xml:space="preserve">Le test aléatoire de 500 000 combinaisons a fait apparaître les 8 archétypes comme profils principaux. Il s’agit d’un contrôle d’accessibilité, pas d’une estimation de leur fréquence réelle.</x:t>
        </x:is>
      </x:c>
      <x:c r="C32" s="121" t="n"/>
      <x:c r="D32" s="121" t="n"/>
      <x:c r="E32" s="121" t="n"/>
      <x:c r="F32" s="121" t="n"/>
      <x:c r="G32" s="121" t="n"/>
      <x:c r="H32" s="121" t="n"/>
    </x:row>
    <x:row r="33" ht="31.5" customHeight="1">
      <x:c r="A33" s="30" t="inlineStr">
        <x:is>
          <x:t xml:space="preserve">Avertissement</x:t>
        </x:is>
      </x:c>
      <x:c r="B33" s="30" t="inlineStr">
        <x:is>
          <x:t xml:space="preserve">Le diagnostic est un outil de qualification et de restitution ludique. Il ne doit pas être présenté comme un test psychométrique.</x:t>
        </x:is>
      </x:c>
      <x:c r="C33" s="122" t="n"/>
      <x:c r="D33" s="122" t="n"/>
      <x:c r="E33" s="122" t="n"/>
      <x:c r="F33" s="122" t="n"/>
      <x:c r="G33" s="122" t="n"/>
      <x:c r="H33" s="122" t="n"/>
    </x:row>
    <x:row r="34" ht="31.5" customHeight="1">
      <x:c r="A34" s="31" t="inlineStr">
        <x:is>
          <x:t xml:space="preserve">Versionnement</x:t>
        </x:is>
      </x:c>
      <x:c r="B34" s="31" t="inlineStr">
        <x:is>
          <x:t xml:space="preserve">Toute modification d’une option, d’un poids ou d’un seuil doit créer une nouvelle version du moteur.</x:t>
        </x:is>
      </x:c>
      <x:c r="C34" s="123" t="n"/>
      <x:c r="D34" s="123" t="n"/>
      <x:c r="E34" s="123" t="n"/>
      <x:c r="F34" s="123" t="n"/>
      <x:c r="G34" s="123" t="n"/>
      <x:c r="H34" s="123" t="n"/>
    </x:row>
    <x:row r="36">
      <x:c r="A36" s="155" t="str">
        <x:v>Contrôle du départage des archétypes</x:v>
      </x:c>
      <x:c r="B36" s="155"/>
      <x:c r="C36" s="155"/>
      <x:c r="D36" s="155"/>
      <x:c r="E36" s="155"/>
      <x:c r="F36" s="155"/>
    </x:row>
    <x:row r="37" ht="44" customHeight="1">
      <x:c r="A37" s="159" t="str">
        <x:v>Cas</x:v>
      </x:c>
      <x:c r="B37" s="159" t="str">
        <x:v>Séquence Q1→Q14</x:v>
      </x:c>
      <x:c r="C37" s="159" t="str">
        <x:v>Égalité initiale</x:v>
      </x:c>
      <x:c r="D37" s="159" t="str">
        <x:v>Résultat attendu</x:v>
      </x:c>
      <x:c r="E37" s="159" t="str">
        <x:v>Critère décisif</x:v>
      </x:c>
      <x:c r="F37" s="159" t="str">
        <x:v>Procédure</x:v>
      </x:c>
    </x:row>
    <x:row r="38" ht="44" customHeight="1">
      <x:c r="A38" s="164" t="str">
        <x:v>Égalité d’affinité</x:v>
      </x:c>
      <x:c r="B38" s="164" t="str">
        <x:v>CCDBDACABDDACB</x:v>
      </x:c>
      <x:c r="C38" s="164" t="str">
        <x:v>Visionnaire = Réformateur (37,25)</x:v>
      </x:c>
      <x:c r="D38" s="164" t="str">
        <x:v>Réformateur</x:v>
      </x:c>
      <x:c r="E38" s="164" t="str">
        <x:v>Score central : 41,18 &gt; 33,33</x:v>
      </x:c>
      <x:c r="F38" s="164" t="str">
        <x:v>Saisir la séquence dans les cellules jaunes du Simulateur.</x:v>
      </x:c>
    </x:row>
    <x:row r="39" ht="44" customHeight="1">
      <x:c r="A39" s="164" t="str">
        <x:v>Règle complète</x:v>
      </x:c>
      <x:c r="B39" s="164" t="str">
        <x:v>—</x:v>
      </x:c>
      <x:c r="C39" s="164" t="str">
        <x:v>—</x:v>
      </x:c>
      <x:c r="D39" s="164" t="str">
        <x:v>—</x:v>
      </x:c>
      <x:c r="E39" s="164" t="str">
        <x:v>Affinité → central → +2 central → somme brute → ordre technique</x:v>
      </x:c>
      <x:c r="F39" s="164" t="str">
        <x:v>Le snapshot doit conserver les valeurs comparées et le critère gagnant.</x:v>
      </x:c>
    </x:row>
  </x:sheetData>
  <x:mergeCells>
    <x:mergeCell ref="A3:H3"/>
    <x:mergeCell ref="B32:H32"/>
    <x:mergeCell ref="A25:H25"/>
    <x:mergeCell ref="A14:H14"/>
    <x:mergeCell ref="B33:H33"/>
    <x:mergeCell ref="A1:H1"/>
    <x:mergeCell ref="B34:H34"/>
    <x:mergeCell ref="A36:F36"/>
  </x:mergeCells>
  <x:conditionalFormatting sqref="F5:F12">
    <x:cfRule type="containsText" dxfId="3" priority="1" operator="containsText" text="OK"/>
    <x:cfRule type="containsText" dxfId="0" priority="2" operator="containsText" text="À vérifier"/>
  </x:conditionalFormatting>
  <x:pageMargins left="0.7" right="0.7" top="0.75" bottom="0.75" header="0.3" footer="0.3"/>
</x:worksheet>
</file>